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4470D2CD-2249-CD33-4A35-6F278624656F}"/>
  <workbookPr codeName="ThisWorkbook" defaultThemeVersion="124226"/>
  <mc:AlternateContent xmlns:mc="http://schemas.openxmlformats.org/markup-compatibility/2006">
    <mc:Choice Requires="x15">
      <x15ac:absPath xmlns:x15ac="http://schemas.microsoft.com/office/spreadsheetml/2010/11/ac" url="https://microsoft.sharepoint.com/sites/MicrosoftNon/Shared Documents/D365 Nonprofit Accelerator/D365 Nonprofit Accelerator v2.4/Frontline Humanitarian Logistics/"/>
    </mc:Choice>
  </mc:AlternateContent>
  <xr:revisionPtr revIDLastSave="646" documentId="8_{7025CFD5-4CFC-4F92-BC23-0D941B8C79B6}" xr6:coauthVersionLast="45" xr6:coauthVersionMax="45" xr10:uidLastSave="{5ADD2DD7-E835-4BC5-B57C-D7173005843C}"/>
  <bookViews>
    <workbookView xWindow="62520" yWindow="-120" windowWidth="29040" windowHeight="15840" tabRatio="690" activeTab="3" xr2:uid="{00000000-000D-0000-FFFF-FFFF00000000}"/>
  </bookViews>
  <sheets>
    <sheet name="Readme" sheetId="34" r:id="rId1"/>
    <sheet name="Processes" sheetId="18" r:id="rId2"/>
    <sheet name="Mapping Processes--&gt;Data" sheetId="20" r:id="rId3"/>
    <sheet name="Data" sheetId="21" r:id="rId4"/>
    <sheet name="Summary" sheetId="33" r:id="rId5"/>
    <sheet name="Dropdowns" sheetId="13" state="hidden" r:id="rId6"/>
  </sheets>
  <definedNames>
    <definedName name="_xlnm._FilterDatabase" localSheetId="3" hidden="1">Data!$I$2:$N$24</definedName>
    <definedName name="_xlnm._FilterDatabase" localSheetId="4" hidden="1">Summary!$A$3:$I$874</definedName>
    <definedName name="ID_D">Table_Data[D ID]</definedName>
    <definedName name="ID_M">Table_Mappings[M ID]</definedName>
    <definedName name="ID_P">Table_Processes[P 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96" i="20" l="1"/>
  <c r="C196" i="20"/>
  <c r="E195" i="20"/>
  <c r="C195" i="20"/>
  <c r="E194" i="20"/>
  <c r="C194" i="20"/>
  <c r="E193" i="20"/>
  <c r="C193" i="20"/>
  <c r="E192" i="20"/>
  <c r="C192" i="20"/>
  <c r="E191" i="20"/>
  <c r="C191" i="20"/>
  <c r="E190" i="20"/>
  <c r="C190" i="20"/>
  <c r="E189" i="20"/>
  <c r="C189" i="20"/>
  <c r="E188" i="20"/>
  <c r="C188" i="20"/>
  <c r="E187" i="20"/>
  <c r="C187" i="20"/>
  <c r="E186" i="20"/>
  <c r="C186" i="20"/>
  <c r="E185" i="20"/>
  <c r="C185" i="20"/>
  <c r="E184" i="20"/>
  <c r="C184" i="20"/>
  <c r="E183" i="20"/>
  <c r="C183" i="20"/>
  <c r="E182" i="20"/>
  <c r="C182" i="20"/>
  <c r="E181" i="20"/>
  <c r="C181" i="20"/>
  <c r="E180" i="20"/>
  <c r="C180" i="20"/>
  <c r="E179" i="20"/>
  <c r="C179" i="20"/>
  <c r="E178" i="20"/>
  <c r="C178" i="20"/>
  <c r="E177" i="20"/>
  <c r="C177" i="20"/>
  <c r="E176" i="20"/>
  <c r="C176" i="20"/>
  <c r="E175" i="20"/>
  <c r="C175" i="20"/>
  <c r="E174" i="20"/>
  <c r="C174" i="20"/>
  <c r="E173" i="20"/>
  <c r="C173" i="20"/>
  <c r="E172" i="20"/>
  <c r="C172" i="20"/>
  <c r="E171" i="20"/>
  <c r="C171" i="20"/>
  <c r="E170" i="20"/>
  <c r="C170" i="20"/>
  <c r="E169" i="20"/>
  <c r="C169" i="20"/>
  <c r="E168" i="20"/>
  <c r="C168" i="20"/>
  <c r="E167" i="20"/>
  <c r="C167" i="20"/>
  <c r="E166" i="20"/>
  <c r="C166" i="20"/>
  <c r="E165" i="20"/>
  <c r="C165" i="20"/>
  <c r="E164" i="20"/>
  <c r="C164" i="20"/>
  <c r="E163" i="20"/>
  <c r="C163" i="20"/>
  <c r="E162" i="20"/>
  <c r="C162" i="20"/>
  <c r="E161" i="20"/>
  <c r="C161" i="20"/>
  <c r="E160" i="20"/>
  <c r="C160" i="20"/>
  <c r="E159" i="20"/>
  <c r="C159" i="20"/>
  <c r="E158" i="20"/>
  <c r="C158" i="20"/>
  <c r="E157" i="20"/>
  <c r="C157" i="20"/>
  <c r="E156" i="20"/>
  <c r="C156" i="20"/>
  <c r="E155" i="20"/>
  <c r="C155" i="20"/>
  <c r="E154" i="20"/>
  <c r="C154" i="20"/>
  <c r="E153" i="20"/>
  <c r="C153" i="20"/>
  <c r="E152" i="20"/>
  <c r="C152" i="20"/>
  <c r="E151" i="20"/>
  <c r="C151" i="20"/>
  <c r="E150" i="20"/>
  <c r="C150" i="20"/>
  <c r="E149" i="20"/>
  <c r="C149" i="20"/>
  <c r="E148" i="20"/>
  <c r="C148" i="20"/>
  <c r="E147" i="20"/>
  <c r="C147" i="20"/>
  <c r="E146" i="20"/>
  <c r="C146" i="20"/>
  <c r="E145" i="20"/>
  <c r="C145" i="20"/>
  <c r="E144" i="20"/>
  <c r="C144" i="20"/>
  <c r="E143" i="20"/>
  <c r="C143" i="20"/>
  <c r="E142" i="20"/>
  <c r="C142" i="20"/>
  <c r="E141" i="20"/>
  <c r="C141" i="20"/>
  <c r="E140" i="20"/>
  <c r="C140" i="20"/>
  <c r="E139" i="20"/>
  <c r="C139" i="20"/>
  <c r="E138" i="20"/>
  <c r="C138" i="20"/>
  <c r="E137" i="20"/>
  <c r="C137" i="20"/>
  <c r="E136" i="20"/>
  <c r="C136" i="20"/>
  <c r="E135" i="20"/>
  <c r="C135" i="20"/>
  <c r="E134" i="20"/>
  <c r="C134" i="20"/>
  <c r="E133" i="20"/>
  <c r="C133" i="20"/>
  <c r="E132" i="20"/>
  <c r="C132" i="20"/>
  <c r="E131" i="20"/>
  <c r="C131" i="20"/>
  <c r="E130" i="20"/>
  <c r="C130" i="20"/>
  <c r="E129" i="20"/>
  <c r="C129" i="20"/>
  <c r="E128" i="20"/>
  <c r="C128" i="20"/>
  <c r="E127" i="20"/>
  <c r="C127" i="20"/>
  <c r="E126" i="20"/>
  <c r="C126" i="20"/>
  <c r="E125" i="20"/>
  <c r="C125" i="20"/>
  <c r="E124" i="20"/>
  <c r="C124" i="20"/>
  <c r="E123" i="20"/>
  <c r="C123" i="20"/>
  <c r="E122" i="20"/>
  <c r="C122" i="20"/>
  <c r="E121" i="20"/>
  <c r="C121" i="20"/>
  <c r="E120" i="20"/>
  <c r="C120" i="20"/>
  <c r="E119" i="20"/>
  <c r="C119" i="20"/>
  <c r="E118" i="20"/>
  <c r="C118" i="20"/>
  <c r="E117" i="20"/>
  <c r="C117" i="20"/>
  <c r="E116" i="20"/>
  <c r="C116" i="20"/>
  <c r="E115" i="20"/>
  <c r="C115" i="20"/>
  <c r="E114" i="20"/>
  <c r="C114" i="20"/>
  <c r="E113" i="20"/>
  <c r="C113" i="20"/>
  <c r="E112" i="20"/>
  <c r="C112" i="20"/>
  <c r="E111" i="20"/>
  <c r="C111" i="20"/>
  <c r="E110" i="20"/>
  <c r="C110" i="20"/>
  <c r="E109" i="20"/>
  <c r="C109" i="20"/>
  <c r="E108" i="20"/>
  <c r="C108" i="20"/>
  <c r="E107" i="20"/>
  <c r="C107" i="20"/>
  <c r="E106" i="20"/>
  <c r="C106" i="20"/>
  <c r="E105" i="20"/>
  <c r="C105" i="20"/>
  <c r="E104" i="20"/>
  <c r="C104" i="20"/>
  <c r="E103" i="20"/>
  <c r="C103" i="20"/>
  <c r="E102" i="20"/>
  <c r="C102" i="20"/>
  <c r="E101" i="20"/>
  <c r="C101" i="20"/>
  <c r="E100" i="20"/>
  <c r="C100" i="20"/>
  <c r="E99" i="20"/>
  <c r="C99" i="20"/>
  <c r="E98" i="20"/>
  <c r="C98" i="20"/>
  <c r="E97" i="20"/>
  <c r="C97" i="20"/>
  <c r="E96" i="20"/>
  <c r="C96" i="20"/>
  <c r="E95" i="20"/>
  <c r="C95" i="20"/>
  <c r="E94" i="20"/>
  <c r="C94" i="20"/>
  <c r="E93" i="20"/>
  <c r="C93" i="20"/>
  <c r="E92" i="20"/>
  <c r="C92" i="20"/>
  <c r="E91" i="20"/>
  <c r="C91" i="20"/>
  <c r="E90" i="20"/>
  <c r="C90" i="20"/>
  <c r="E89" i="20"/>
  <c r="C89" i="20"/>
  <c r="E88" i="20"/>
  <c r="C88" i="20"/>
  <c r="E87" i="20"/>
  <c r="C87" i="20"/>
  <c r="E86" i="20"/>
  <c r="C86" i="20"/>
  <c r="E85" i="20"/>
  <c r="C85" i="20"/>
  <c r="E84" i="20"/>
  <c r="C84" i="20"/>
  <c r="E83" i="20"/>
  <c r="C83" i="20"/>
  <c r="E82" i="20"/>
  <c r="C82" i="20"/>
  <c r="E81" i="20"/>
  <c r="C81" i="20"/>
  <c r="E80" i="20"/>
  <c r="C80" i="20"/>
  <c r="E79" i="20"/>
  <c r="C79" i="20"/>
  <c r="E78" i="20"/>
  <c r="C78" i="20"/>
  <c r="E77" i="20"/>
  <c r="C77" i="20"/>
  <c r="E76" i="20"/>
  <c r="C76" i="20"/>
  <c r="E75" i="20"/>
  <c r="C75" i="20"/>
  <c r="E74" i="20"/>
  <c r="C74" i="20"/>
  <c r="E73" i="20"/>
  <c r="C73" i="20"/>
  <c r="E72" i="20"/>
  <c r="C72" i="20"/>
  <c r="E71" i="20"/>
  <c r="C71" i="20"/>
  <c r="E70" i="20"/>
  <c r="C70" i="20"/>
  <c r="E69" i="20"/>
  <c r="C69" i="20"/>
  <c r="E68" i="20"/>
  <c r="C68" i="20"/>
  <c r="E67" i="20"/>
  <c r="C67" i="20"/>
  <c r="E66" i="20"/>
  <c r="C66" i="20"/>
  <c r="E65" i="20"/>
  <c r="C65" i="20"/>
  <c r="E64" i="20"/>
  <c r="C64" i="20"/>
  <c r="E63" i="20"/>
  <c r="C63" i="20"/>
  <c r="E62" i="20"/>
  <c r="C62" i="20"/>
  <c r="E61" i="20"/>
  <c r="C61" i="20"/>
  <c r="E60" i="20"/>
  <c r="C60" i="20"/>
  <c r="E59" i="20"/>
  <c r="C59" i="20"/>
  <c r="E58" i="20"/>
  <c r="C58" i="20"/>
  <c r="E57" i="20"/>
  <c r="C57" i="20"/>
  <c r="E56" i="20"/>
  <c r="C56" i="20"/>
  <c r="E55" i="20"/>
  <c r="C55" i="20"/>
  <c r="E54" i="20"/>
  <c r="C54" i="20"/>
  <c r="E53" i="20"/>
  <c r="C53" i="20"/>
  <c r="E52" i="20"/>
  <c r="C52" i="20"/>
  <c r="E51" i="20"/>
  <c r="C51" i="20"/>
  <c r="E50" i="20"/>
  <c r="C50" i="20"/>
  <c r="E49" i="20"/>
  <c r="C49" i="20"/>
  <c r="E48" i="20"/>
  <c r="C48" i="20"/>
  <c r="E47" i="20"/>
  <c r="C47" i="20"/>
  <c r="E46" i="20"/>
  <c r="C46" i="20"/>
  <c r="E45" i="20"/>
  <c r="C45" i="20"/>
  <c r="E44" i="20"/>
  <c r="C44" i="20"/>
  <c r="E43" i="20"/>
  <c r="C43" i="20"/>
  <c r="E42" i="20"/>
  <c r="C42" i="20"/>
  <c r="E41" i="20"/>
  <c r="C41" i="20"/>
  <c r="E40" i="20"/>
  <c r="C40" i="20"/>
  <c r="E39" i="20"/>
  <c r="C39" i="20"/>
  <c r="E38" i="20"/>
  <c r="C38" i="20"/>
  <c r="E37" i="20"/>
  <c r="C37" i="20"/>
  <c r="E36" i="20"/>
  <c r="C36" i="20"/>
  <c r="E35" i="20"/>
  <c r="C35" i="20"/>
  <c r="E34" i="20"/>
  <c r="C34" i="20"/>
  <c r="E33" i="20"/>
  <c r="C33" i="20"/>
  <c r="E32" i="20"/>
  <c r="C32" i="20"/>
  <c r="E31" i="20"/>
  <c r="C31" i="20"/>
  <c r="E30" i="20"/>
  <c r="C30" i="20"/>
  <c r="E29" i="20"/>
  <c r="C29" i="20"/>
  <c r="E28" i="20"/>
  <c r="C28" i="20"/>
  <c r="E27" i="20"/>
  <c r="C27" i="20"/>
  <c r="E26" i="20"/>
  <c r="C26" i="20"/>
  <c r="E25" i="20"/>
  <c r="C25" i="20"/>
  <c r="E24" i="20"/>
  <c r="C24" i="20"/>
  <c r="E23" i="20"/>
  <c r="C23" i="20"/>
  <c r="E22" i="20"/>
  <c r="C22" i="20"/>
  <c r="E21" i="20"/>
  <c r="C21" i="20"/>
  <c r="E20" i="20"/>
  <c r="C20" i="20"/>
  <c r="E19" i="20"/>
  <c r="C19" i="20"/>
  <c r="E18" i="20"/>
  <c r="C18" i="20"/>
  <c r="E17" i="20"/>
  <c r="C17" i="20"/>
  <c r="E16" i="20"/>
  <c r="C16" i="20"/>
  <c r="E15" i="20"/>
  <c r="C15" i="20"/>
  <c r="E14" i="20"/>
  <c r="C14" i="20"/>
  <c r="E13" i="20"/>
  <c r="C13" i="20"/>
  <c r="E12" i="20"/>
  <c r="C12" i="20"/>
  <c r="E11" i="20"/>
  <c r="C11" i="20"/>
  <c r="E10" i="20"/>
  <c r="C10" i="20"/>
  <c r="E9" i="20"/>
  <c r="C9" i="20"/>
  <c r="E8" i="20"/>
  <c r="C8" i="20"/>
  <c r="E7" i="20"/>
  <c r="C7" i="20"/>
  <c r="E6" i="20"/>
  <c r="C6" i="20"/>
  <c r="E5" i="20"/>
  <c r="C5" i="20"/>
  <c r="E4" i="20"/>
  <c r="C4" i="20"/>
  <c r="E3" i="20"/>
  <c r="C3" i="20"/>
  <c r="G1036" i="21" a="1"/>
  <c r="G589" i="21" a="1"/>
  <c r="G526" i="21" a="1"/>
  <c r="G853" i="21" a="1"/>
  <c r="G988" i="21" a="1"/>
  <c r="G201" i="21" a="1"/>
  <c r="G288" i="21" a="1"/>
  <c r="G1147" i="21" a="1"/>
  <c r="G1082" i="21" a="1"/>
  <c r="G1090" i="21" a="1"/>
  <c r="G1035" i="21" a="1"/>
  <c r="G464" i="21" a="1"/>
  <c r="G1157" i="21" a="1"/>
  <c r="G264" i="21" a="1"/>
  <c r="G416" i="21" a="1"/>
  <c r="G1205" i="21" a="1"/>
  <c r="G962" i="21" a="1"/>
  <c r="G880" i="21" a="1"/>
  <c r="G504" i="21" a="1"/>
  <c r="G168" i="21" a="1"/>
  <c r="G588" i="21" a="1"/>
  <c r="G955" i="21" a="1"/>
  <c r="G681" i="21" a="1"/>
  <c r="G1185" i="21" a="1"/>
  <c r="G778" i="21" a="1"/>
  <c r="G125" i="21" a="1"/>
  <c r="G684" i="21" a="1"/>
  <c r="G949" i="21" a="1"/>
  <c r="G915" i="21" a="1"/>
  <c r="G213" i="21" a="1"/>
  <c r="G172" i="21" a="1"/>
  <c r="G978" i="21" a="1"/>
  <c r="G50" i="21" a="1"/>
  <c r="G131" i="21" a="1"/>
  <c r="G583" i="21" a="1"/>
  <c r="G920" i="21" a="1"/>
  <c r="G358" i="21" a="1"/>
  <c r="G21" i="21" a="1"/>
  <c r="G115" i="21" a="1"/>
  <c r="G61" i="21" a="1"/>
  <c r="G1081" i="21" a="1"/>
  <c r="G558" i="21" a="1"/>
  <c r="G773" i="21" a="1"/>
  <c r="G882" i="21" a="1"/>
  <c r="G265" i="21" a="1"/>
  <c r="G398" i="21" a="1"/>
  <c r="G99" i="21" a="1"/>
  <c r="G563" i="21" a="1"/>
  <c r="G362" i="21" a="1"/>
  <c r="G843" i="21" a="1"/>
  <c r="G1165" i="21" a="1"/>
  <c r="G689" i="21" a="1"/>
  <c r="G1009" i="21" a="1"/>
  <c r="G132" i="21" a="1"/>
  <c r="G1208" i="21" a="1"/>
  <c r="G126" i="21" a="1"/>
  <c r="G532" i="21" a="1"/>
  <c r="G340" i="21" a="1"/>
  <c r="G67" i="21" a="1"/>
  <c r="G276" i="21" a="1"/>
  <c r="G1060" i="21" a="1"/>
  <c r="G387" i="21" a="1"/>
  <c r="G639" i="21" a="1"/>
  <c r="G404" i="21" a="1"/>
  <c r="G1125" i="21" a="1"/>
  <c r="G489" i="21" a="1"/>
  <c r="G42" i="21" a="1"/>
  <c r="G607" i="21" a="1"/>
  <c r="G1212" i="21" a="1"/>
  <c r="G842" i="21" a="1"/>
  <c r="G1055" i="21" a="1"/>
  <c r="G1175" i="21" a="1"/>
  <c r="G120" i="21" a="1"/>
  <c r="G887" i="21" a="1"/>
  <c r="G385" i="21" a="1"/>
  <c r="G374" i="21" a="1"/>
  <c r="G848" i="21" a="1"/>
  <c r="G901" i="21" a="1"/>
  <c r="G707" i="21" a="1"/>
  <c r="G238" i="21" a="1"/>
  <c r="G1146" i="21" a="1"/>
  <c r="G484" i="21" a="1"/>
  <c r="G278" i="21" a="1"/>
  <c r="G904" i="21" a="1"/>
  <c r="G866" i="21" a="1"/>
  <c r="G190" i="21" a="1"/>
  <c r="G127" i="21" a="1"/>
  <c r="G547" i="21" a="1"/>
  <c r="G800" i="21" a="1"/>
  <c r="G939" i="21" a="1"/>
  <c r="G582" i="21" a="1"/>
  <c r="G40" i="21" a="1"/>
  <c r="G983" i="21" a="1"/>
  <c r="G279" i="21" a="1"/>
  <c r="G1154" i="21" a="1"/>
  <c r="G709" i="21" a="1"/>
  <c r="G319" i="21" a="1"/>
  <c r="G86" i="21" a="1"/>
  <c r="G1043" i="21" a="1"/>
  <c r="G418" i="21" a="1"/>
  <c r="G894" i="21" a="1"/>
  <c r="G1132" i="21" a="1"/>
  <c r="G1087" i="21" a="1"/>
  <c r="G1176" i="21" a="1"/>
  <c r="G530" i="21" a="1"/>
  <c r="G339" i="21" a="1"/>
  <c r="G108" i="21" a="1"/>
  <c r="G544" i="21" a="1"/>
  <c r="G296" i="21" a="1"/>
  <c r="G497" i="21" a="1"/>
  <c r="G216" i="21" a="1"/>
  <c r="G271" i="21" a="1"/>
  <c r="G870" i="21" a="1"/>
  <c r="G436" i="21" a="1"/>
  <c r="G1044" i="21" a="1"/>
  <c r="G874" i="21" a="1"/>
  <c r="G924" i="21" a="1"/>
  <c r="G914" i="21" a="1"/>
  <c r="G277" i="21" a="1"/>
  <c r="G1078" i="21" a="1"/>
  <c r="G556" i="21" a="1"/>
  <c r="G197" i="21" a="1"/>
  <c r="G916" i="21" a="1"/>
  <c r="G103" i="21" a="1"/>
  <c r="G733" i="21" a="1"/>
  <c r="G150" i="21" a="1"/>
  <c r="G1134" i="21" a="1"/>
  <c r="G1115" i="21" a="1"/>
  <c r="G713" i="21" a="1"/>
  <c r="G862" i="21" a="1"/>
  <c r="G1123" i="21" a="1"/>
  <c r="G912" i="21" a="1"/>
  <c r="G1069" i="21" a="1"/>
  <c r="G560" i="21" a="1"/>
  <c r="G444" i="21" a="1"/>
  <c r="G255" i="21" a="1"/>
  <c r="G615" i="21" a="1"/>
  <c r="G871" i="21" a="1"/>
  <c r="G1163" i="21" a="1"/>
  <c r="G765" i="21" a="1"/>
  <c r="G482" i="21" a="1"/>
  <c r="G550" i="21" a="1"/>
  <c r="G1050" i="21" a="1"/>
  <c r="G618" i="21" a="1"/>
  <c r="G775" i="21" a="1"/>
  <c r="G505" i="21" a="1"/>
  <c r="G1138" i="21" a="1"/>
  <c r="G559" i="21" a="1"/>
  <c r="G1207" i="21" a="1"/>
  <c r="G836" i="21" a="1"/>
  <c r="G973" i="21" a="1"/>
  <c r="G194" i="21" a="1"/>
  <c r="G177" i="21" a="1"/>
  <c r="G341" i="21" a="1"/>
  <c r="G91" i="21" a="1"/>
  <c r="G443" i="21" a="1"/>
  <c r="G321" i="21" a="1"/>
  <c r="G1116" i="21" a="1"/>
  <c r="G354" i="21" a="1"/>
  <c r="G1002" i="21" a="1"/>
  <c r="G1190" i="21" a="1"/>
  <c r="G878" i="21" a="1"/>
  <c r="G561" i="21" a="1"/>
  <c r="G445" i="21" a="1"/>
  <c r="G499" i="21" a="1"/>
  <c r="G790" i="21" a="1"/>
  <c r="G54" i="21" a="1"/>
  <c r="G927" i="21" a="1"/>
  <c r="G745" i="21" a="1"/>
  <c r="G796" i="21" a="1"/>
  <c r="G663" i="21" a="1"/>
  <c r="G586" i="21" a="1"/>
  <c r="G193" i="21" a="1"/>
  <c r="G490" i="21" a="1"/>
  <c r="G982" i="21" a="1"/>
  <c r="G925" i="21" a="1"/>
  <c r="G744" i="21" a="1"/>
  <c r="G152" i="21" a="1"/>
  <c r="G574" i="21" a="1"/>
  <c r="G179" i="21" a="1"/>
  <c r="G1079" i="21" a="1"/>
  <c r="G292" i="21" a="1"/>
  <c r="G73" i="21" a="1"/>
  <c r="G1056" i="21" a="1"/>
  <c r="G290" i="21" a="1"/>
  <c r="G393" i="21" a="1"/>
  <c r="G670" i="21" a="1"/>
  <c r="G584" i="21" a="1"/>
  <c r="G95" i="21" a="1"/>
  <c r="G413" i="21" a="1"/>
  <c r="G1033" i="21" a="1"/>
  <c r="G762" i="21" a="1"/>
  <c r="G401" i="21" a="1"/>
  <c r="G555" i="21" a="1"/>
  <c r="G788" i="21" a="1"/>
  <c r="G135" i="21" a="1"/>
  <c r="G242" i="21" a="1"/>
  <c r="G844" i="21" a="1"/>
  <c r="G835" i="21" a="1"/>
  <c r="G320" i="21" a="1"/>
  <c r="G78" i="21" a="1"/>
  <c r="G88" i="21" a="1"/>
  <c r="G302" i="21" a="1"/>
  <c r="G422" i="21" a="1"/>
  <c r="G94" i="21" a="1"/>
  <c r="G495" i="21" a="1"/>
  <c r="G219" i="21" a="1"/>
  <c r="G165" i="21" a="1"/>
  <c r="G813" i="21" a="1"/>
  <c r="G144" i="21" a="1"/>
  <c r="G1211" i="21" a="1"/>
  <c r="G1051" i="21" a="1"/>
  <c r="G262" i="21" a="1"/>
  <c r="G1074" i="21" a="1"/>
  <c r="G913" i="21" a="1"/>
  <c r="G389" i="21" a="1"/>
  <c r="G1097" i="21" a="1"/>
  <c r="G521" i="21" a="1"/>
  <c r="G854" i="21" a="1"/>
  <c r="G297" i="21" a="1"/>
  <c r="G311" i="21" a="1"/>
  <c r="G1111" i="21" a="1"/>
  <c r="G36" i="21" a="1"/>
  <c r="G121" i="21" a="1"/>
  <c r="G623" i="21" a="1"/>
  <c r="G1006" i="21" a="1"/>
  <c r="G270" i="21" a="1"/>
  <c r="G273" i="21" a="1"/>
  <c r="G233" i="21" a="1"/>
  <c r="G366" i="21" a="1"/>
  <c r="G80" i="21" a="1"/>
  <c r="G237" i="21" a="1"/>
  <c r="G192" i="21" a="1"/>
  <c r="G426" i="21" a="1"/>
  <c r="G306" i="21" a="1"/>
  <c r="G976" i="21" a="1"/>
  <c r="G266" i="21" a="1"/>
  <c r="G753" i="21" a="1"/>
  <c r="G958" i="21" a="1"/>
  <c r="G14" i="21" a="1"/>
  <c r="G872" i="21" a="1"/>
  <c r="G446" i="21" a="1"/>
  <c r="G816" i="21" a="1"/>
  <c r="G440" i="21" a="1"/>
  <c r="G928" i="21" a="1"/>
  <c r="G79" i="21" a="1"/>
  <c r="G44" i="21" a="1"/>
  <c r="G654" i="21" a="1"/>
  <c r="G301" i="21" a="1"/>
  <c r="G291" i="21" a="1"/>
  <c r="G373" i="21" a="1"/>
  <c r="G909" i="21" a="1"/>
  <c r="G1018" i="21" a="1"/>
  <c r="G252" i="21" a="1"/>
  <c r="G705" i="21" a="1"/>
  <c r="G448" i="21" a="1"/>
  <c r="G585" i="21" a="1"/>
  <c r="G830" i="21" a="1"/>
  <c r="G562" i="21" a="1"/>
  <c r="G867" i="21" a="1"/>
  <c r="G858" i="21" a="1"/>
  <c r="G173" i="21" a="1"/>
  <c r="G19" i="21" a="1"/>
  <c r="G699" i="21" a="1"/>
  <c r="G417" i="21" a="1"/>
  <c r="G1181" i="21" a="1"/>
  <c r="G780" i="21" a="1"/>
  <c r="G523" i="21" a="1"/>
  <c r="G338" i="21" a="1"/>
  <c r="G1014" i="21" a="1"/>
  <c r="G845" i="21" a="1"/>
  <c r="G1076" i="21" a="1"/>
  <c r="G787" i="21" a="1"/>
  <c r="G231" i="21" a="1"/>
  <c r="G794" i="21" a="1"/>
  <c r="G491" i="21" a="1"/>
  <c r="G986" i="21" a="1"/>
  <c r="G459" i="21" a="1"/>
  <c r="G515" i="21" a="1"/>
  <c r="G458" i="21" a="1"/>
  <c r="G598" i="21" a="1"/>
  <c r="G110" i="21" a="1"/>
  <c r="G686" i="21" a="1"/>
  <c r="G665" i="21" a="1"/>
  <c r="G701" i="21" a="1"/>
  <c r="G977" i="21" a="1"/>
  <c r="G250" i="21" a="1"/>
  <c r="G578" i="21" a="1"/>
  <c r="G134" i="21" a="1"/>
  <c r="G1124" i="21" a="1"/>
  <c r="G671" i="21" a="1"/>
  <c r="G534" i="21" a="1"/>
  <c r="G945" i="21" a="1"/>
  <c r="G492" i="21" a="1"/>
  <c r="G18" i="21" a="1"/>
  <c r="G371" i="21" a="1"/>
  <c r="G841" i="21" a="1"/>
  <c r="G221" i="21" a="1"/>
  <c r="G511" i="21" a="1"/>
  <c r="G604" i="21" a="1"/>
  <c r="G363" i="21" a="1"/>
  <c r="G969" i="21" a="1"/>
  <c r="G817" i="21" a="1"/>
  <c r="G981" i="21" a="1"/>
  <c r="G888" i="21" a="1"/>
  <c r="G797" i="21" a="1"/>
  <c r="G575" i="21" a="1"/>
  <c r="G795" i="21" a="1"/>
  <c r="G1058" i="21" a="1"/>
  <c r="G317" i="21" a="1"/>
  <c r="G316" i="21" a="1"/>
  <c r="G885" i="21" a="1"/>
  <c r="G1203" i="21" a="1"/>
  <c r="G1032" i="21" a="1"/>
  <c r="G859" i="21" a="1"/>
  <c r="G543" i="21" a="1"/>
  <c r="G1144" i="21" a="1"/>
  <c r="G330" i="21" a="1"/>
  <c r="G658" i="21" a="1"/>
  <c r="G1008" i="21" a="1"/>
  <c r="G891" i="21" a="1"/>
  <c r="G38" i="21" a="1"/>
  <c r="G312" i="21" a="1"/>
  <c r="G758" i="21" a="1"/>
  <c r="G105" i="21" a="1"/>
  <c r="G90" i="21" a="1"/>
  <c r="G68" i="21" a="1"/>
  <c r="G76" i="21" a="1"/>
  <c r="G673" i="21" a="1"/>
  <c r="G644" i="21" a="1"/>
  <c r="G1010" i="21" a="1"/>
  <c r="G184" i="21" a="1"/>
  <c r="G457" i="21" a="1"/>
  <c r="G236" i="21" a="1"/>
  <c r="G324" i="21" a="1"/>
  <c r="G743" i="21" a="1"/>
  <c r="G738" i="21" a="1"/>
  <c r="G662" i="21" a="1"/>
  <c r="G714" i="21" a="1"/>
  <c r="G748" i="21" a="1"/>
  <c r="G826" i="21" a="1"/>
  <c r="G1189" i="21" a="1"/>
  <c r="G472" i="21" a="1"/>
  <c r="G1199" i="21" a="1"/>
  <c r="G160" i="21" a="1"/>
  <c r="G1177" i="21" a="1"/>
  <c r="G717" i="21" a="1"/>
  <c r="G546" i="21" a="1"/>
  <c r="G60" i="21" a="1"/>
  <c r="G503" i="21" a="1"/>
  <c r="G760" i="21" a="1"/>
  <c r="G451" i="21" a="1"/>
  <c r="G1100" i="21" a="1"/>
  <c r="G1101" i="21" a="1"/>
  <c r="G524" i="21" a="1"/>
  <c r="G1067" i="21" a="1"/>
  <c r="G133" i="21" a="1"/>
  <c r="G527" i="21" a="1"/>
  <c r="G576" i="21" a="1"/>
  <c r="G777" i="21" a="1"/>
  <c r="G1017" i="21" a="1"/>
  <c r="G56" i="21" a="1"/>
  <c r="G410" i="21" a="1"/>
  <c r="G627" i="21" a="1"/>
  <c r="G155" i="21" a="1"/>
  <c r="G466" i="21" a="1"/>
  <c r="G861" i="21" a="1"/>
  <c r="G693" i="21" a="1"/>
  <c r="G1001" i="21" a="1"/>
  <c r="G1046" i="21" a="1"/>
  <c r="G388" i="21" a="1"/>
  <c r="G917" i="21" a="1"/>
  <c r="G537" i="21" a="1"/>
  <c r="G1188" i="21" a="1"/>
  <c r="G1096" i="21" a="1"/>
  <c r="G74" i="21" a="1"/>
  <c r="G1153" i="21" a="1"/>
  <c r="G1168" i="21" a="1"/>
  <c r="G1214" i="21" a="1"/>
  <c r="G766" i="21" a="1"/>
  <c r="G1040" i="21" a="1"/>
  <c r="G370" i="21" a="1"/>
  <c r="G12" i="21" a="1"/>
  <c r="G814" i="21" a="1"/>
  <c r="G1084" i="21" a="1"/>
  <c r="G674" i="21" a="1"/>
  <c r="G222" i="21" a="1"/>
  <c r="G967" i="21" a="1"/>
  <c r="G1024" i="21" a="1"/>
  <c r="G993" i="21" a="1"/>
  <c r="G286" i="21" a="1"/>
  <c r="G243" i="21" a="1"/>
  <c r="G786" i="21" a="1"/>
  <c r="G1184" i="21" a="1"/>
  <c r="G648" i="21" a="1"/>
  <c r="G102" i="21" a="1"/>
  <c r="G819" i="21" a="1"/>
  <c r="G631" i="21" a="1"/>
  <c r="G855" i="21" a="1"/>
  <c r="G611" i="21" a="1"/>
  <c r="G910" i="21" a="1"/>
  <c r="G112" i="21" a="1"/>
  <c r="G989" i="21" a="1"/>
  <c r="G695" i="21" a="1"/>
  <c r="G846" i="21" a="1"/>
  <c r="G723" i="21" a="1"/>
  <c r="G501" i="21" a="1"/>
  <c r="G573" i="21" a="1"/>
  <c r="G890" i="21" a="1"/>
  <c r="G47" i="21" a="1"/>
  <c r="G522" i="21" a="1"/>
  <c r="G463" i="21" a="1"/>
  <c r="G92" i="21" a="1"/>
  <c r="G356" i="21" a="1"/>
  <c r="G1011" i="21" a="1"/>
  <c r="G432" i="21" a="1"/>
  <c r="G734" i="21" a="1"/>
  <c r="G730" i="21" a="1"/>
  <c r="G869" i="21" a="1"/>
  <c r="G771" i="21" a="1"/>
  <c r="G300" i="21" a="1"/>
  <c r="G431" i="21" a="1"/>
  <c r="G961" i="21" a="1"/>
  <c r="G877" i="21" a="1"/>
  <c r="G136" i="21" a="1"/>
  <c r="G1108" i="21" a="1"/>
  <c r="G390" i="21" a="1"/>
  <c r="G1136" i="21" a="1"/>
  <c r="G203" i="21" a="1"/>
  <c r="G471" i="21" a="1"/>
  <c r="G517" i="21" a="1"/>
  <c r="G269" i="21" a="1"/>
  <c r="G921" i="21" a="1"/>
  <c r="G1183" i="21" a="1"/>
  <c r="G449" i="21" a="1"/>
  <c r="G905" i="21" a="1"/>
  <c r="G513" i="21" a="1"/>
  <c r="G1085" i="21" a="1"/>
  <c r="G59" i="21" a="1"/>
  <c r="G244" i="21" a="1"/>
  <c r="G952" i="21" a="1"/>
  <c r="G752" i="21" a="1"/>
  <c r="G657" i="21" a="1"/>
  <c r="G678" i="21" a="1"/>
  <c r="G1066" i="21" a="1"/>
  <c r="G1113" i="21" a="1"/>
  <c r="G140" i="21" a="1"/>
  <c r="G1182" i="21" a="1"/>
  <c r="G643" i="21" a="1"/>
  <c r="G568" i="21" a="1"/>
  <c r="G729" i="21" a="1"/>
  <c r="G630" i="21" a="1"/>
  <c r="G157" i="21" a="1"/>
  <c r="G801" i="21" a="1"/>
  <c r="G850" i="21" a="1"/>
  <c r="G953" i="21" a="1"/>
  <c r="G1197" i="21" a="1"/>
  <c r="G847" i="21" a="1"/>
  <c r="G638" i="21" a="1"/>
  <c r="G32" i="21" a="1"/>
  <c r="G267" i="21" a="1"/>
  <c r="G1075" i="21" a="1"/>
  <c r="G605" i="21" a="1"/>
  <c r="G528" i="21" a="1"/>
  <c r="G768" i="21" a="1"/>
  <c r="G313" i="21" a="1"/>
  <c r="G188" i="21" a="1"/>
  <c r="G49" i="21" a="1"/>
  <c r="G425" i="21" a="1"/>
  <c r="G397" i="21" a="1"/>
  <c r="G1192" i="21" a="1"/>
  <c r="G886" i="21" a="1"/>
  <c r="G820" i="21" a="1"/>
  <c r="G118" i="21" a="1"/>
  <c r="G669" i="21" a="1"/>
  <c r="G918" i="21" a="1"/>
  <c r="G304" i="21" a="1"/>
  <c r="G943" i="21" a="1"/>
  <c r="G592" i="21" a="1"/>
  <c r="G368" i="21" a="1"/>
  <c r="G646" i="21" a="1"/>
  <c r="G779" i="21" a="1"/>
  <c r="G1107" i="21" a="1"/>
  <c r="G1158" i="21" a="1"/>
  <c r="G437" i="21" a="1"/>
  <c r="G263" i="21" a="1"/>
  <c r="G1170" i="21" a="1"/>
  <c r="G353" i="21" a="1"/>
  <c r="G549" i="21" a="1"/>
  <c r="G424" i="21" a="1"/>
  <c r="G898" i="21" a="1"/>
  <c r="G355" i="21" a="1"/>
  <c r="G625" i="21" a="1"/>
  <c r="G342" i="21" a="1"/>
  <c r="G571" i="21" a="1"/>
  <c r="G378" i="21" a="1"/>
  <c r="G1164" i="21" a="1"/>
  <c r="G1201" i="21" a="1"/>
  <c r="G274" i="21" a="1"/>
  <c r="G351" i="21" a="1"/>
  <c r="G940" i="21" a="1"/>
  <c r="G868" i="21" a="1"/>
  <c r="G1016" i="21" a="1"/>
  <c r="G1172" i="21" a="1"/>
  <c r="G1121" i="21" a="1"/>
  <c r="G957" i="21" a="1"/>
  <c r="G634" i="21" a="1"/>
  <c r="G153" i="21" a="1"/>
  <c r="G837" i="21" a="1"/>
  <c r="G1004" i="21" a="1"/>
  <c r="G948" i="21" a="1"/>
  <c r="G4" i="21" a="1"/>
  <c r="G590" i="21" a="1"/>
  <c r="G595" i="21" a="1"/>
  <c r="G653" i="21" a="1"/>
  <c r="G911" i="21" a="1"/>
  <c r="G379" i="21" a="1"/>
  <c r="G799" i="21" a="1"/>
  <c r="G57" i="21" a="1"/>
  <c r="G166" i="21" a="1"/>
  <c r="G359" i="21" a="1"/>
  <c r="G828" i="21" a="1"/>
  <c r="G774" i="21" a="1"/>
  <c r="G480" i="21" a="1"/>
  <c r="G1038" i="21" a="1"/>
  <c r="G498" i="21" a="1"/>
  <c r="G679" i="21" a="1"/>
  <c r="G327" i="21" a="1"/>
  <c r="G281" i="21" a="1"/>
  <c r="G971" i="21" a="1"/>
  <c r="G1039" i="21" a="1"/>
  <c r="G815" i="21" a="1"/>
  <c r="G303" i="21" a="1"/>
  <c r="G998" i="21" a="1"/>
  <c r="G429" i="21" a="1"/>
  <c r="G182" i="21" a="1"/>
  <c r="G384" i="21" a="1"/>
  <c r="G651" i="21" a="1"/>
  <c r="G840" i="21" a="1"/>
  <c r="G34" i="21" a="1"/>
  <c r="G1140" i="21" a="1"/>
  <c r="G975" i="21" a="1"/>
  <c r="G307" i="21" a="1"/>
  <c r="G1193" i="21" a="1"/>
  <c r="G919" i="21" a="1"/>
  <c r="G1065" i="21" a="1"/>
  <c r="G1133" i="21" a="1"/>
  <c r="G725" i="21" a="1"/>
  <c r="G1091" i="21" a="1"/>
  <c r="G507" i="21" a="1"/>
  <c r="G1180" i="21" a="1"/>
  <c r="G749" i="21" a="1"/>
  <c r="G601" i="21" a="1"/>
  <c r="G903" i="21" a="1"/>
  <c r="G557" i="21" a="1"/>
  <c r="G767" i="21" a="1"/>
  <c r="G441" i="21" a="1"/>
  <c r="G900" i="21" a="1"/>
  <c r="G81" i="21" a="1"/>
  <c r="G412" i="21" a="1"/>
  <c r="G65" i="21" a="1"/>
  <c r="G1104" i="21" a="1"/>
  <c r="G260" i="21" a="1"/>
  <c r="G622" i="21" a="1"/>
  <c r="G1178" i="21" a="1"/>
  <c r="G892" i="21" a="1"/>
  <c r="G462" i="21" a="1"/>
  <c r="G409" i="21" a="1"/>
  <c r="G781" i="21" a="1"/>
  <c r="G280" i="21" a="1"/>
  <c r="G785" i="21" a="1"/>
  <c r="G381" i="21" a="1"/>
  <c r="G35" i="21" a="1"/>
  <c r="G600" i="21" a="1"/>
  <c r="G512" i="21" a="1"/>
  <c r="G1089" i="21" a="1"/>
  <c r="G69" i="21" a="1"/>
  <c r="G518" i="21" a="1"/>
  <c r="G849" i="21" a="1"/>
  <c r="G232" i="21" a="1"/>
  <c r="G452" i="21" a="1"/>
  <c r="G996" i="21" a="1"/>
  <c r="G954" i="21" a="1"/>
  <c r="G551" i="21" a="1"/>
  <c r="G661" i="21" a="1"/>
  <c r="G832" i="21" a="1"/>
  <c r="G506" i="21" a="1"/>
  <c r="G818" i="21" a="1"/>
  <c r="G202" i="21" a="1"/>
  <c r="G535" i="21" a="1"/>
  <c r="G1209" i="21" a="1"/>
  <c r="G716" i="21" a="1"/>
  <c r="G122" i="21" a="1"/>
  <c r="G963" i="21" a="1"/>
  <c r="G968" i="21" a="1"/>
  <c r="G1166" i="21" a="1"/>
  <c r="G542" i="21" a="1"/>
  <c r="G104" i="21" a="1"/>
  <c r="G1142" i="21" a="1"/>
  <c r="G485" i="21" a="1"/>
  <c r="G1160" i="21" a="1"/>
  <c r="G285" i="21" a="1"/>
  <c r="G789" i="21" a="1"/>
  <c r="G148" i="21" a="1"/>
  <c r="G715" i="21" a="1"/>
  <c r="G1155" i="21" a="1"/>
  <c r="G247" i="21" a="1"/>
  <c r="G803" i="21" a="1"/>
  <c r="G554" i="21" a="1"/>
  <c r="G365" i="21" a="1"/>
  <c r="G941" i="21" a="1"/>
  <c r="G624" i="21" a="1"/>
  <c r="G908" i="21" a="1"/>
  <c r="G149" i="21" a="1"/>
  <c r="G30" i="21" a="1"/>
  <c r="G632" i="21" a="1"/>
  <c r="G100" i="21" a="1"/>
  <c r="G43" i="21" a="1"/>
  <c r="G1093" i="21" a="1"/>
  <c r="G784" i="21" a="1"/>
  <c r="G706" i="21" a="1"/>
  <c r="G41" i="21" a="1"/>
  <c r="G225" i="21" a="1"/>
  <c r="G146" i="21" a="1"/>
  <c r="G987" i="21" a="1"/>
  <c r="G1129" i="21" a="1"/>
  <c r="G510" i="21" a="1"/>
  <c r="G322" i="21" a="1"/>
  <c r="G1149" i="21" a="1"/>
  <c r="G212" i="21" a="1"/>
  <c r="G347" i="21" a="1"/>
  <c r="G990" i="21" a="1"/>
  <c r="G980" i="21" a="1"/>
  <c r="G406" i="21" a="1"/>
  <c r="G833" i="21" a="1"/>
  <c r="G486" i="21" a="1"/>
  <c r="G652" i="21" a="1"/>
  <c r="G761" i="21" a="1"/>
  <c r="G883" i="21" a="1"/>
  <c r="G460" i="21" a="1"/>
  <c r="G175" i="21" a="1"/>
  <c r="G430" i="21" a="1"/>
  <c r="G1070" i="21" a="1"/>
  <c r="G593" i="21" a="1"/>
  <c r="G776" i="21" a="1"/>
  <c r="G142" i="21" a="1"/>
  <c r="G1099" i="21" a="1"/>
  <c r="G261" i="21" a="1"/>
  <c r="G478" i="21" a="1"/>
  <c r="G224" i="21" a="1"/>
  <c r="G972" i="21" a="1"/>
  <c r="G467" i="21" a="1"/>
  <c r="G721" i="21" a="1"/>
  <c r="G128" i="21" a="1"/>
  <c r="G822" i="21" a="1"/>
  <c r="G1119" i="21" a="1"/>
  <c r="G10" i="21" a="1"/>
  <c r="G214" i="21" a="1"/>
  <c r="G468" i="21" a="1"/>
  <c r="G508" i="21" a="1"/>
  <c r="G230" i="21" a="1"/>
  <c r="G24" i="21" a="1"/>
  <c r="G810" i="21" a="1"/>
  <c r="G344" i="21" a="1"/>
  <c r="G727" i="21" a="1"/>
  <c r="G935" i="21" a="1"/>
  <c r="G294" i="21" a="1"/>
  <c r="G382" i="21" a="1"/>
  <c r="G151" i="21" a="1"/>
  <c r="G974" i="21" a="1"/>
  <c r="G798" i="21" a="1"/>
  <c r="G1135" i="21" a="1"/>
  <c r="G857" i="21" a="1"/>
  <c r="G309" i="21" a="1"/>
  <c r="G895" i="21" a="1"/>
  <c r="G1045" i="21" a="1"/>
  <c r="G612" i="21" a="1"/>
  <c r="G181" i="21" a="1"/>
  <c r="G97" i="21" a="1"/>
  <c r="G793" i="21" a="1"/>
  <c r="G1012" i="21" a="1"/>
  <c r="G217" i="21" a="1"/>
  <c r="G860" i="21" a="1"/>
  <c r="G1080" i="21" a="1"/>
  <c r="G64" i="21" a="1"/>
  <c r="G809" i="21" a="1"/>
  <c r="G1025" i="21" a="1"/>
  <c r="G198" i="21" a="1"/>
  <c r="G736" i="21" a="1"/>
  <c r="G345" i="21" a="1"/>
  <c r="G107" i="21" a="1"/>
  <c r="G747" i="21" a="1"/>
  <c r="G1053" i="21" a="1"/>
  <c r="G519" i="21" a="1"/>
  <c r="G926" i="21" a="1"/>
  <c r="G516" i="21" a="1"/>
  <c r="G1106" i="21" a="1"/>
  <c r="G597" i="21" a="1"/>
  <c r="G806" i="21" a="1"/>
  <c r="G737" i="21" a="1"/>
  <c r="G220" i="21" a="1"/>
  <c r="G902" i="21" a="1"/>
  <c r="G863" i="21" a="1"/>
  <c r="G947" i="21" a="1"/>
  <c r="G807" i="21" a="1"/>
  <c r="G991" i="21" a="1"/>
  <c r="G1204" i="21" a="1"/>
  <c r="G421" i="21" a="1"/>
  <c r="G1156" i="21" a="1"/>
  <c r="G479" i="21" a="1"/>
  <c r="G1162" i="21" a="1"/>
  <c r="G257" i="21" a="1"/>
  <c r="G469" i="21" a="1"/>
  <c r="G364" i="21" a="1"/>
  <c r="G16" i="21" a="1"/>
  <c r="G332" i="21" a="1"/>
  <c r="G386" i="21" a="1"/>
  <c r="G1171" i="21" a="1"/>
  <c r="G396" i="21" a="1"/>
  <c r="G474" i="21" a="1"/>
  <c r="G415" i="21" a="1"/>
  <c r="G1187" i="21" a="1"/>
  <c r="G240" i="21" a="1"/>
  <c r="G308" i="21" a="1"/>
  <c r="G645" i="21" a="1"/>
  <c r="G77" i="21" a="1"/>
  <c r="G770" i="21" a="1"/>
  <c r="G942" i="21" a="1"/>
  <c r="G831" i="21" a="1"/>
  <c r="G376" i="21" a="1"/>
  <c r="G137" i="21" a="1"/>
  <c r="G89" i="21" a="1"/>
  <c r="G85" i="21" a="1"/>
  <c r="G158" i="21" a="1"/>
  <c r="G1127" i="21" a="1"/>
  <c r="G139" i="21" a="1"/>
  <c r="G101" i="21" a="1"/>
  <c r="G493" i="21" a="1"/>
  <c r="G106" i="21" a="1"/>
  <c r="G923" i="21" a="1"/>
  <c r="G763" i="21" a="1"/>
  <c r="G540" i="21" a="1"/>
  <c r="G1077" i="21" a="1"/>
  <c r="G852" i="21" a="1"/>
  <c r="G616" i="21" a="1"/>
  <c r="G1034" i="21" a="1"/>
  <c r="G1020" i="21" a="1"/>
  <c r="G124" i="21" a="1"/>
  <c r="G129" i="21" a="1"/>
  <c r="G580" i="21" a="1"/>
  <c r="G93" i="21" a="1"/>
  <c r="G995" i="21" a="1"/>
  <c r="G934" i="21" a="1"/>
  <c r="G1083" i="21" a="1"/>
  <c r="G728" i="21" a="1"/>
  <c r="G1031" i="21" a="1"/>
  <c r="G367" i="21" a="1"/>
  <c r="G205" i="21" a="1"/>
  <c r="G295" i="21" a="1"/>
  <c r="G326" i="21" a="1"/>
  <c r="G875" i="21" a="1"/>
  <c r="G26" i="21" a="1"/>
  <c r="G298" i="21" a="1"/>
  <c r="G692" i="21" a="1"/>
  <c r="G58" i="21" a="1"/>
  <c r="G1102" i="21" a="1"/>
  <c r="G865" i="21" a="1"/>
  <c r="G170" i="21" a="1"/>
  <c r="G453" i="21" a="1"/>
  <c r="G37" i="21" a="1"/>
  <c r="G346" i="21" a="1"/>
  <c r="G620" i="21" a="1"/>
  <c r="G229" i="21" a="1"/>
  <c r="G697" i="21" a="1"/>
  <c r="G602" i="21" a="1"/>
  <c r="G1013" i="21" a="1"/>
  <c r="G272" i="21" a="1"/>
  <c r="G691" i="21" a="1"/>
  <c r="G438" i="21" a="1"/>
  <c r="G62" i="21" a="1"/>
  <c r="G414" i="21" a="1"/>
  <c r="G884" i="21" a="1"/>
  <c r="G1118" i="21" a="1"/>
  <c r="G191" i="21" a="1"/>
  <c r="G741" i="21" a="1"/>
  <c r="G829" i="21" a="1"/>
  <c r="G226" i="21" a="1"/>
  <c r="G235" i="21" a="1"/>
  <c r="G206" i="21" a="1"/>
  <c r="G239" i="21" a="1"/>
  <c r="G1110" i="21" a="1"/>
  <c r="G314" i="21" a="1"/>
  <c r="G163" i="21" a="1"/>
  <c r="G1148" i="21" a="1"/>
  <c r="G944" i="21" a="1"/>
  <c r="G740" i="21" a="1"/>
  <c r="G591" i="21" a="1"/>
  <c r="G667" i="21" a="1"/>
  <c r="G1042" i="21" a="1"/>
  <c r="G676" i="21" a="1"/>
  <c r="G1126" i="21" a="1"/>
  <c r="G596" i="21" a="1"/>
  <c r="G509" i="21" a="1"/>
  <c r="G937" i="21" a="1"/>
  <c r="G553" i="21" a="1"/>
  <c r="G185" i="21" a="1"/>
  <c r="G1088" i="21" a="1"/>
  <c r="G677" i="21" a="1"/>
  <c r="G141" i="21" a="1"/>
  <c r="G477" i="21" a="1"/>
  <c r="G1094" i="21" a="1"/>
  <c r="G531" i="21" a="1"/>
  <c r="G178" i="21" a="1"/>
  <c r="G876" i="21" a="1"/>
  <c r="G1139" i="21" a="1"/>
  <c r="G960" i="21" a="1"/>
  <c r="G1028" i="21" a="1"/>
  <c r="G608" i="21" a="1"/>
  <c r="G25" i="21" a="1"/>
  <c r="G668" i="21" a="1"/>
  <c r="G635" i="21" a="1"/>
  <c r="G189" i="21" a="1"/>
  <c r="G783" i="21" a="1"/>
  <c r="G39" i="21" a="1"/>
  <c r="G254" i="21" a="1"/>
  <c r="G45" i="21" a="1"/>
  <c r="G11" i="21" a="1"/>
  <c r="G541" i="21" a="1"/>
  <c r="G1167" i="21" a="1"/>
  <c r="G156" i="21" a="1"/>
  <c r="G536" i="21" a="1"/>
  <c r="G407" i="21" a="1"/>
  <c r="G825" i="21" a="1"/>
  <c r="G470" i="21" a="1"/>
  <c r="G907" i="21" a="1"/>
  <c r="G1150" i="21" a="1"/>
  <c r="G433" i="21" a="1"/>
  <c r="G864" i="21" a="1"/>
  <c r="G72" i="21" a="1"/>
  <c r="G180" i="21" a="1"/>
  <c r="G999" i="21" a="1"/>
  <c r="G1061" i="21" a="1"/>
  <c r="G746" i="21" a="1"/>
  <c r="G1179" i="21" a="1"/>
  <c r="G349" i="21" a="1"/>
  <c r="G722" i="21" a="1"/>
  <c r="G647" i="21" a="1"/>
  <c r="G812" i="21" a="1"/>
  <c r="G640" i="21" a="1"/>
  <c r="G1159" i="21" a="1"/>
  <c r="G1109" i="21" a="1"/>
  <c r="G696" i="21" a="1"/>
  <c r="G145" i="21" a="1"/>
  <c r="G587" i="21" a="1"/>
  <c r="G922" i="21" a="1"/>
  <c r="G8" i="21" a="1"/>
  <c r="G539" i="21" a="1"/>
  <c r="G906" i="21" a="1"/>
  <c r="G732" i="21" a="1"/>
  <c r="G245" i="21" a="1"/>
  <c r="G633" i="21" a="1"/>
  <c r="G750" i="21" a="1"/>
  <c r="G167" i="21" a="1"/>
  <c r="G400" i="21" a="1"/>
  <c r="G161" i="21" a="1"/>
  <c r="G328" i="21" a="1"/>
  <c r="G881" i="21" a="1"/>
  <c r="G284" i="21" a="1"/>
  <c r="G487" i="21" a="1"/>
  <c r="G570" i="21" a="1"/>
  <c r="G520" i="21" a="1"/>
  <c r="G970" i="21" a="1"/>
  <c r="G456" i="21" a="1"/>
  <c r="G70" i="21" a="1"/>
  <c r="G936" i="21" a="1"/>
  <c r="G694" i="21" a="1"/>
  <c r="G52" i="21" a="1"/>
  <c r="G772" i="21" a="1"/>
  <c r="G1105" i="21" a="1"/>
  <c r="G966" i="21" a="1"/>
  <c r="G834" i="21" a="1"/>
  <c r="G946" i="21" a="1"/>
  <c r="G804" i="21" a="1"/>
  <c r="G186" i="21" a="1"/>
  <c r="G619" i="21" a="1"/>
  <c r="G207" i="21" a="1"/>
  <c r="G15" i="21" a="1"/>
  <c r="G656" i="21" a="1"/>
  <c r="G933" i="21" a="1"/>
  <c r="G731" i="21" a="1"/>
  <c r="G628" i="21" a="1"/>
  <c r="G427" i="21" a="1"/>
  <c r="G275" i="21" a="1"/>
  <c r="G655" i="21" a="1"/>
  <c r="G442" i="21" a="1"/>
  <c r="G1145" i="21" a="1"/>
  <c r="G581" i="21" a="1"/>
  <c r="G246" i="21" a="1"/>
  <c r="G664" i="21" a="1"/>
  <c r="G711" i="21" a="1"/>
  <c r="G754" i="21" a="1"/>
  <c r="G1052" i="21" a="1"/>
  <c r="G258" i="21" a="1"/>
  <c r="G473" i="21" a="1"/>
  <c r="G29" i="21" a="1"/>
  <c r="G420" i="21" a="1"/>
  <c r="G899" i="21" a="1"/>
  <c r="G84" i="21" a="1"/>
  <c r="G337" i="21" a="1"/>
  <c r="G33" i="21" a="1"/>
  <c r="G1196" i="21" a="1"/>
  <c r="G419" i="21" a="1"/>
  <c r="G183" i="21" a="1"/>
  <c r="G28" i="21" a="1"/>
  <c r="G96" i="21" a="1"/>
  <c r="G1037" i="21" a="1"/>
  <c r="G348" i="21" a="1"/>
  <c r="G1114" i="21" a="1"/>
  <c r="G1049" i="21" a="1"/>
  <c r="G411" i="21" a="1"/>
  <c r="G3" i="21" a="1"/>
  <c r="G98" i="21" a="1"/>
  <c r="G757" i="21" a="1"/>
  <c r="G494" i="21" a="1"/>
  <c r="G46" i="21" a="1"/>
  <c r="G1200" i="21" a="1"/>
  <c r="G87" i="21" a="1"/>
  <c r="G932" i="21" a="1"/>
  <c r="G827" i="21" a="1"/>
  <c r="G211" i="21" a="1"/>
  <c r="G680" i="21" a="1"/>
  <c r="G594" i="21" a="1"/>
  <c r="G896" i="21" a="1"/>
  <c r="G1122" i="21" a="1"/>
  <c r="G143" i="21" a="1"/>
  <c r="G1195" i="21" a="1"/>
  <c r="G1174" i="21" a="1"/>
  <c r="G1169" i="21" a="1"/>
  <c r="G496" i="21" a="1"/>
  <c r="G698" i="21" a="1"/>
  <c r="G204" i="21" a="1"/>
  <c r="G614" i="21" a="1"/>
  <c r="G1003" i="21" a="1"/>
  <c r="G423" i="21" a="1"/>
  <c r="G1191" i="21" a="1"/>
  <c r="G719" i="21" a="1"/>
  <c r="G63" i="21" a="1"/>
  <c r="G724" i="21" a="1"/>
  <c r="G199" i="21" a="1"/>
  <c r="G331" i="21" a="1"/>
  <c r="G992" i="21" a="1"/>
  <c r="G756" i="21" a="1"/>
  <c r="G428" i="21" a="1"/>
  <c r="G1023" i="21" a="1"/>
  <c r="G208" i="21" a="1"/>
  <c r="G726" i="21" a="1"/>
  <c r="G650" i="21" a="1"/>
  <c r="G1152" i="21" a="1"/>
  <c r="G1030" i="21" a="1"/>
  <c r="G1103" i="21" a="1"/>
  <c r="G323" i="21" a="1"/>
  <c r="G31" i="21" a="1"/>
  <c r="G708" i="21" a="1"/>
  <c r="G223" i="21" a="1"/>
  <c r="G27" i="21" a="1"/>
  <c r="G329" i="21" a="1"/>
  <c r="G1151" i="21" a="1"/>
  <c r="G759" i="21" a="1"/>
  <c r="G488" i="21" a="1"/>
  <c r="G566" i="21" a="1"/>
  <c r="G109" i="21" a="1"/>
  <c r="G792" i="21" a="1"/>
  <c r="G720" i="21" a="1"/>
  <c r="G461" i="21" a="1"/>
  <c r="G48" i="21" a="1"/>
  <c r="G392" i="21" a="1"/>
  <c r="G838" i="21" a="1"/>
  <c r="G613" i="21" a="1"/>
  <c r="G683" i="21" a="1"/>
  <c r="G289" i="21" a="1"/>
  <c r="G405" i="21" a="1"/>
  <c r="G310" i="21" a="1"/>
  <c r="G1112" i="21" a="1"/>
  <c r="G1130" i="21" a="1"/>
  <c r="G82" i="21" a="1"/>
  <c r="G335" i="21" a="1"/>
  <c r="G130" i="21" a="1"/>
  <c r="G481" i="21" a="1"/>
  <c r="G938" i="21" a="1"/>
  <c r="G455" i="21" a="1"/>
  <c r="G483" i="21" a="1"/>
  <c r="G889" i="21" a="1"/>
  <c r="G23" i="21" a="1"/>
  <c r="G361" i="21" a="1"/>
  <c r="G293" i="21" a="1"/>
  <c r="G357" i="21" a="1"/>
  <c r="G391" i="21" a="1"/>
  <c r="G248" i="21" a="1"/>
  <c r="G176" i="21" a="1"/>
  <c r="G956" i="21" a="1"/>
  <c r="G138" i="21" a="1"/>
  <c r="G218" i="21" a="1"/>
  <c r="G893" i="21" a="1"/>
  <c r="G20" i="21" a="1"/>
  <c r="G808" i="21" a="1"/>
  <c r="G117" i="21" a="1"/>
  <c r="G606" i="21" a="1"/>
  <c r="G626" i="21" a="1"/>
  <c r="G702" i="21" a="1"/>
  <c r="G1059" i="21" a="1"/>
  <c r="G979" i="21" a="1"/>
  <c r="G735" i="21" a="1"/>
  <c r="G395" i="21" a="1"/>
  <c r="G9" i="21" a="1"/>
  <c r="G318" i="21" a="1"/>
  <c r="G111" i="21" a="1"/>
  <c r="G7" i="21" a="1"/>
  <c r="G439" i="21" a="1"/>
  <c r="G538" i="21" a="1"/>
  <c r="G1063" i="21" a="1"/>
  <c r="G53" i="21" a="1"/>
  <c r="G450" i="21" a="1"/>
  <c r="G755" i="21" a="1"/>
  <c r="G465" i="21" a="1"/>
  <c r="G1057" i="21" a="1"/>
  <c r="G751" i="21" a="1"/>
  <c r="G71" i="21" a="1"/>
  <c r="G334" i="21" a="1"/>
  <c r="G1029" i="21" a="1"/>
  <c r="G215" i="21" a="1"/>
  <c r="G209" i="21" a="1"/>
  <c r="G375" i="21" a="1"/>
  <c r="G1186" i="21" a="1"/>
  <c r="G710" i="21" a="1"/>
  <c r="G1202" i="21" a="1"/>
  <c r="G1198" i="21" a="1"/>
  <c r="G1210" i="21" a="1"/>
  <c r="G113" i="21" a="1"/>
  <c r="G1007" i="21" a="1"/>
  <c r="G1000" i="21" a="1"/>
  <c r="G579" i="21" a="1"/>
  <c r="G447" i="21" a="1"/>
  <c r="G525" i="21" a="1"/>
  <c r="G636" i="21" a="1"/>
  <c r="G1120" i="21" a="1"/>
  <c r="G1073" i="21" a="1"/>
  <c r="G666" i="21" a="1"/>
  <c r="G1022" i="21" a="1"/>
  <c r="G609" i="21" a="1"/>
  <c r="G1206" i="21" a="1"/>
  <c r="G1071" i="21" a="1"/>
  <c r="G739" i="21" a="1"/>
  <c r="G897" i="21" a="1"/>
  <c r="G873" i="21" a="1"/>
  <c r="G66" i="21" a="1"/>
  <c r="G769" i="21" a="1"/>
  <c r="G116" i="21" a="1"/>
  <c r="G856" i="21" a="1"/>
  <c r="G879" i="21" a="1"/>
  <c r="G649" i="21" a="1"/>
  <c r="G164" i="21" a="1"/>
  <c r="G249" i="21" a="1"/>
  <c r="G1005" i="21" a="1"/>
  <c r="G256" i="21" a="1"/>
  <c r="G1054" i="21" a="1"/>
  <c r="G377" i="21" a="1"/>
  <c r="G259" i="21" a="1"/>
  <c r="G672" i="21" a="1"/>
  <c r="G994" i="21" a="1"/>
  <c r="G1021" i="21" a="1"/>
  <c r="G1092" i="21" a="1"/>
  <c r="G685" i="21" a="1"/>
  <c r="G75" i="21" a="1"/>
  <c r="G22" i="21" a="1"/>
  <c r="G930" i="21" a="1"/>
  <c r="G475" i="21" a="1"/>
  <c r="G545" i="21" a="1"/>
  <c r="G564" i="21" a="1"/>
  <c r="G610" i="21" a="1"/>
  <c r="G408" i="21" a="1"/>
  <c r="G169" i="21" a="1"/>
  <c r="G839" i="21" a="1"/>
  <c r="G1137" i="21" a="1"/>
  <c r="G55" i="21" a="1"/>
  <c r="G617" i="21" a="1"/>
  <c r="G1027" i="21" a="1"/>
  <c r="G629" i="21" a="1"/>
  <c r="G454" i="21" a="1"/>
  <c r="G1019" i="21" a="1"/>
  <c r="G703" i="21" a="1"/>
  <c r="G210" i="21" a="1"/>
  <c r="G234" i="21" a="1"/>
  <c r="G851" i="21" a="1"/>
  <c r="G1161" i="21" a="1"/>
  <c r="G1015" i="21" a="1"/>
  <c r="G802" i="21" a="1"/>
  <c r="G227" i="21" a="1"/>
  <c r="G931" i="21" a="1"/>
  <c r="G577" i="21" a="1"/>
  <c r="G1173" i="21" a="1"/>
  <c r="G660" i="21" a="1"/>
  <c r="G476" i="21" a="1"/>
  <c r="G500" i="21" a="1"/>
  <c r="G305" i="21" a="1"/>
  <c r="G399" i="21" a="1"/>
  <c r="G502" i="21" a="1"/>
  <c r="G403" i="21" a="1"/>
  <c r="G805" i="21" a="1"/>
  <c r="G984" i="21" a="1"/>
  <c r="G552" i="21" a="1"/>
  <c r="G1141" i="21" a="1"/>
  <c r="G394" i="21" a="1"/>
  <c r="G268" i="21" a="1"/>
  <c r="G1213" i="21" a="1"/>
  <c r="G251" i="21" a="1"/>
  <c r="G17" i="21" a="1"/>
  <c r="G548" i="21" a="1"/>
  <c r="G6" i="21" a="1"/>
  <c r="G688" i="21" a="1"/>
  <c r="G1048" i="21" a="1"/>
  <c r="G700" i="21" a="1"/>
  <c r="G369" i="21" a="1"/>
  <c r="G637" i="21" a="1"/>
  <c r="G682" i="21" a="1"/>
  <c r="G187" i="21" a="1"/>
  <c r="G959" i="21" a="1"/>
  <c r="G51" i="21" a="1"/>
  <c r="G1041" i="21" a="1"/>
  <c r="G380" i="21" a="1"/>
  <c r="G336" i="21" a="1"/>
  <c r="G283" i="21" a="1"/>
  <c r="G985" i="21" a="1"/>
  <c r="G282" i="21" a="1"/>
  <c r="G1047" i="21" a="1"/>
  <c r="G350" i="21" a="1"/>
  <c r="G154" i="21" a="1"/>
  <c r="G287" i="21" a="1"/>
  <c r="G565" i="21" a="1"/>
  <c r="G641" i="21" a="1"/>
  <c r="G764" i="21" a="1"/>
  <c r="G402" i="21" a="1"/>
  <c r="G782" i="21" a="1"/>
  <c r="G159" i="21" a="1"/>
  <c r="G434" i="21" a="1"/>
  <c r="G1095" i="21" a="1"/>
  <c r="G119" i="21" a="1"/>
  <c r="G360" i="21" a="1"/>
  <c r="G572" i="21" a="1"/>
  <c r="G951" i="21" a="1"/>
  <c r="G569" i="21" a="1"/>
  <c r="G824" i="21" a="1"/>
  <c r="G299" i="21" a="1"/>
  <c r="G200" i="21" a="1"/>
  <c r="G196" i="21" a="1"/>
  <c r="G965" i="21" a="1"/>
  <c r="G929" i="21" a="1"/>
  <c r="G742" i="21" a="1"/>
  <c r="G964" i="21" a="1"/>
  <c r="G514" i="21" a="1"/>
  <c r="G529" i="21" a="1"/>
  <c r="G325" i="21" a="1"/>
  <c r="G1143" i="21" a="1"/>
  <c r="G315" i="21" a="1"/>
  <c r="G1064" i="21" a="1"/>
  <c r="G228" i="21" a="1"/>
  <c r="G114" i="21" a="1"/>
  <c r="G642" i="21" a="1"/>
  <c r="G123" i="21" a="1"/>
  <c r="G621" i="21" a="1"/>
  <c r="G171" i="21" a="1"/>
  <c r="G241" i="21" a="1"/>
  <c r="G174" i="21" a="1"/>
  <c r="G372" i="21" a="1"/>
  <c r="G1128" i="21" a="1"/>
  <c r="G712" i="21" a="1"/>
  <c r="G1117" i="21" a="1"/>
  <c r="G83" i="21" a="1"/>
  <c r="G675" i="21" a="1"/>
  <c r="G687" i="21" a="1"/>
  <c r="G162" i="21" a="1"/>
  <c r="G333" i="21" a="1"/>
  <c r="G1098" i="21" a="1"/>
  <c r="G823" i="21" a="1"/>
  <c r="G1194" i="21" a="1"/>
  <c r="G791" i="21" a="1"/>
  <c r="G13" i="21" a="1"/>
  <c r="G5" i="21" a="1"/>
  <c r="G343" i="21" a="1"/>
  <c r="G1062" i="21" a="1"/>
  <c r="G567" i="21" a="1"/>
  <c r="G435" i="21" a="1"/>
  <c r="G1086" i="21" a="1"/>
  <c r="G718" i="21" a="1"/>
  <c r="G1131" i="21" a="1"/>
  <c r="G1068" i="21" a="1"/>
  <c r="G690" i="21" a="1"/>
  <c r="G997" i="21" a="1"/>
  <c r="G383" i="21" a="1"/>
  <c r="G704" i="21" a="1"/>
  <c r="G352" i="21" a="1"/>
  <c r="G811" i="21" a="1"/>
  <c r="G1026" i="21" a="1"/>
  <c r="G147" i="21" a="1"/>
  <c r="G950" i="21" a="1"/>
  <c r="G533" i="21" a="1"/>
  <c r="G603" i="21" a="1"/>
  <c r="G195" i="21" a="1"/>
  <c r="G599" i="21" a="1"/>
  <c r="G659" i="21" a="1"/>
  <c r="G821" i="21" a="1"/>
  <c r="G1072" i="21" a="1"/>
  <c r="G253" i="21" a="1"/>
  <c r="G514" i="21" l="1"/>
  <c r="G769" i="21"/>
  <c r="G324" i="21"/>
  <c r="G943" i="21"/>
  <c r="G378" i="21"/>
  <c r="G730" i="21"/>
  <c r="G632" i="21"/>
  <c r="G393" i="21"/>
  <c r="G365" i="21"/>
  <c r="G519" i="21"/>
  <c r="G7" i="21"/>
  <c r="G317" i="21"/>
  <c r="G805" i="21"/>
  <c r="G682" i="21"/>
  <c r="G323" i="21"/>
  <c r="G1102" i="21"/>
  <c r="G1000" i="21"/>
  <c r="G236" i="21"/>
  <c r="G1195" i="21"/>
  <c r="G211" i="21"/>
  <c r="G1144" i="21"/>
  <c r="G671" i="21"/>
  <c r="G487" i="21"/>
  <c r="G67" i="21"/>
  <c r="G1073" i="21"/>
  <c r="G916" i="21"/>
  <c r="G142" i="21"/>
  <c r="G569" i="21"/>
  <c r="G423" i="21"/>
  <c r="G394" i="21"/>
  <c r="G220" i="21"/>
  <c r="G1150" i="21"/>
  <c r="G105" i="21"/>
  <c r="G1186" i="21"/>
  <c r="G314" i="21"/>
  <c r="G1109" i="21"/>
  <c r="G502" i="21"/>
  <c r="G302" i="21"/>
  <c r="G936" i="21"/>
  <c r="G611" i="21"/>
  <c r="G636" i="21"/>
  <c r="G764" i="21"/>
  <c r="G687" i="21"/>
  <c r="G1154" i="21"/>
  <c r="G339" i="21"/>
  <c r="G122" i="21"/>
  <c r="G1107" i="21"/>
  <c r="G158" i="21"/>
  <c r="G721" i="21"/>
  <c r="G63" i="21"/>
  <c r="G828" i="21"/>
  <c r="G226" i="21"/>
  <c r="G57" i="21"/>
  <c r="G374" i="21"/>
  <c r="G985" i="21"/>
  <c r="G787" i="21"/>
  <c r="G965" i="21"/>
  <c r="G1137" i="21"/>
  <c r="G922" i="21"/>
  <c r="G1025" i="21"/>
  <c r="G529" i="21"/>
  <c r="G483" i="21"/>
  <c r="G207" i="21"/>
  <c r="G1135" i="21"/>
  <c r="G545" i="21"/>
  <c r="G946" i="21"/>
  <c r="G161" i="21"/>
  <c r="G148" i="21"/>
  <c r="G277" i="21"/>
  <c r="G734" i="21"/>
  <c r="G352" i="21"/>
  <c r="G290" i="21"/>
  <c r="G1132" i="21"/>
  <c r="G68" i="21"/>
  <c r="G659" i="21"/>
  <c r="G1058" i="21"/>
  <c r="G1042" i="21"/>
  <c r="G313" i="21"/>
  <c r="G367" i="21"/>
  <c r="G551" i="21"/>
  <c r="G450" i="21"/>
  <c r="G395" i="21"/>
  <c r="G549" i="21"/>
  <c r="G22" i="21"/>
  <c r="G206" i="21"/>
  <c r="G1124" i="21"/>
  <c r="G1062" i="21"/>
  <c r="G340" i="21"/>
  <c r="G208" i="21"/>
  <c r="G708" i="21"/>
  <c r="G1171" i="21"/>
  <c r="G304" i="21"/>
  <c r="G1078" i="21"/>
  <c r="G3" i="21"/>
  <c r="G1003" i="21"/>
  <c r="G557" i="21"/>
  <c r="G83" i="21"/>
  <c r="G107" i="21"/>
  <c r="G108" i="21"/>
  <c r="G268" i="21"/>
  <c r="G972" i="21"/>
  <c r="G88" i="21"/>
  <c r="G1054" i="21"/>
  <c r="G855" i="21"/>
  <c r="G402" i="21"/>
  <c r="G225" i="21"/>
  <c r="G41" i="21"/>
  <c r="G279" i="21"/>
  <c r="G539" i="21"/>
  <c r="G655" i="21"/>
  <c r="G599" i="21"/>
  <c r="G1197" i="21"/>
  <c r="G1134" i="21"/>
  <c r="G748" i="21"/>
  <c r="G1162" i="21"/>
  <c r="G176" i="21"/>
  <c r="G1047" i="21"/>
  <c r="G385" i="21"/>
  <c r="G756" i="21"/>
  <c r="G1076" i="21"/>
  <c r="G457" i="21"/>
  <c r="G497" i="21"/>
  <c r="G543" i="21"/>
  <c r="G827" i="21"/>
  <c r="G498" i="21"/>
  <c r="G1061" i="21"/>
  <c r="G761" i="21"/>
  <c r="G171" i="21"/>
  <c r="G1120" i="21"/>
  <c r="G776" i="21"/>
  <c r="G1148" i="21"/>
  <c r="G346" i="21"/>
  <c r="G51" i="21"/>
  <c r="G432" i="21"/>
  <c r="G239" i="21"/>
  <c r="G1056" i="21"/>
  <c r="G704" i="21"/>
  <c r="G1106" i="21"/>
  <c r="G284" i="21"/>
  <c r="G795" i="21"/>
  <c r="G987" i="21"/>
  <c r="G101" i="21"/>
  <c r="G13" i="21"/>
  <c r="G119" i="21"/>
  <c r="G406" i="21"/>
  <c r="G571" i="21"/>
  <c r="G626" i="21"/>
  <c r="G1159" i="21"/>
  <c r="G554" i="21"/>
  <c r="G134" i="21"/>
  <c r="G52" i="21"/>
  <c r="G532" i="21"/>
  <c r="G295" i="21"/>
  <c r="G186" i="21"/>
  <c r="G799" i="21"/>
  <c r="G789" i="21"/>
  <c r="G617" i="21"/>
  <c r="G181" i="21"/>
  <c r="G400" i="21"/>
  <c r="G1130" i="21"/>
  <c r="G1008" i="21"/>
  <c r="G893" i="21"/>
  <c r="G710" i="21"/>
  <c r="G763" i="21"/>
  <c r="G510" i="21"/>
  <c r="G78" i="21"/>
  <c r="G486" i="21"/>
  <c r="G631" i="21"/>
  <c r="G1103" i="21"/>
  <c r="G634" i="21"/>
  <c r="G914" i="21"/>
  <c r="G983" i="21"/>
  <c r="G1169" i="21"/>
  <c r="G716" i="21"/>
  <c r="G894" i="21"/>
  <c r="G28" i="21"/>
  <c r="G329" i="21"/>
  <c r="G579" i="21"/>
  <c r="G738" i="21"/>
  <c r="G918" i="21"/>
  <c r="G1143" i="21"/>
  <c r="G887" i="21"/>
  <c r="G456" i="21"/>
  <c r="G845" i="21"/>
  <c r="G124" i="21"/>
  <c r="G1053" i="21"/>
  <c r="G779" i="21"/>
  <c r="G809" i="21"/>
  <c r="G500" i="21"/>
  <c r="G609" i="21"/>
  <c r="G480" i="21"/>
  <c r="G427" i="21"/>
  <c r="G205" i="21"/>
  <c r="G834" i="21"/>
  <c r="G667" i="21"/>
  <c r="G1206" i="21"/>
  <c r="G978" i="21"/>
  <c r="G737" i="21"/>
  <c r="G260" i="21"/>
  <c r="G1011" i="21"/>
  <c r="G200" i="21"/>
  <c r="G73" i="21"/>
  <c r="G896" i="21"/>
  <c r="G740" i="21"/>
  <c r="G975" i="21"/>
  <c r="G580" i="21"/>
  <c r="G1205" i="21"/>
  <c r="G575" i="21"/>
  <c r="G610" i="21"/>
  <c r="G768" i="21"/>
  <c r="G596" i="21"/>
  <c r="G954" i="21"/>
  <c r="G537" i="21"/>
  <c r="G1156" i="21"/>
  <c r="G998" i="21"/>
  <c r="G251" i="21"/>
  <c r="G624" i="21"/>
  <c r="G209" i="21"/>
  <c r="G712" i="21"/>
  <c r="G578" i="21"/>
  <c r="G678" i="21"/>
  <c r="G228" i="21"/>
  <c r="G133" i="21"/>
  <c r="G126" i="21"/>
  <c r="G948" i="21"/>
  <c r="G318" i="21"/>
  <c r="G386" i="21"/>
  <c r="G248" i="21"/>
  <c r="G79" i="21"/>
  <c r="G1098" i="21"/>
  <c r="G905" i="21"/>
  <c r="G1029" i="21"/>
  <c r="G184" i="21"/>
  <c r="G903" i="21"/>
  <c r="G758" i="21"/>
  <c r="G859" i="21"/>
  <c r="G434" i="21"/>
  <c r="G1202" i="21"/>
  <c r="G366" i="21"/>
  <c r="G932" i="21"/>
  <c r="G733" i="21"/>
  <c r="G320" i="21"/>
  <c r="G474" i="21"/>
  <c r="G819" i="21"/>
  <c r="G1116" i="21"/>
  <c r="G593" i="21"/>
  <c r="G856" i="21"/>
  <c r="G964" i="21"/>
  <c r="G739" i="21"/>
  <c r="G40" i="21"/>
  <c r="G732" i="21"/>
  <c r="G455" i="21"/>
  <c r="G392" i="21"/>
  <c r="G587" i="21"/>
  <c r="G550" i="21"/>
  <c r="G953" i="21"/>
  <c r="G565" i="21"/>
  <c r="G1187" i="21"/>
  <c r="G837" i="21"/>
  <c r="G285" i="21"/>
  <c r="G172" i="21"/>
  <c r="G169" i="21"/>
  <c r="G109" i="21"/>
  <c r="G120" i="21"/>
  <c r="G980" i="21"/>
  <c r="G1014" i="21"/>
  <c r="G706" i="21"/>
  <c r="G1117" i="21"/>
  <c r="G420" i="21"/>
  <c r="G1077" i="21"/>
  <c r="G416" i="21"/>
  <c r="G1028" i="21"/>
  <c r="G883" i="21"/>
  <c r="G411" i="21"/>
  <c r="G351" i="21"/>
  <c r="G907" i="21"/>
  <c r="G917" i="21"/>
  <c r="G1201" i="21"/>
  <c r="G754" i="21"/>
  <c r="G379" i="21"/>
  <c r="G53" i="21"/>
  <c r="G669" i="21"/>
  <c r="G735" i="21"/>
  <c r="G356" i="21"/>
  <c r="G731" i="21"/>
  <c r="G30" i="21"/>
  <c r="G1067" i="21"/>
  <c r="G292" i="21"/>
  <c r="G345" i="21"/>
  <c r="G807" i="21"/>
  <c r="G253" i="21"/>
  <c r="G797" i="21"/>
  <c r="G928" i="21"/>
  <c r="G261" i="21"/>
  <c r="G875" i="21"/>
  <c r="G170" i="21"/>
  <c r="G672" i="21"/>
  <c r="G438" i="21"/>
  <c r="G957" i="21"/>
  <c r="G924" i="21"/>
  <c r="G11" i="21"/>
  <c r="G530" i="21"/>
  <c r="G233" i="21"/>
  <c r="G640" i="21"/>
  <c r="G418" i="21"/>
  <c r="G250" i="21"/>
  <c r="G15" i="21"/>
  <c r="G1208" i="21"/>
  <c r="G321" i="21"/>
  <c r="G694" i="21"/>
  <c r="G189" i="21"/>
  <c r="G548" i="21"/>
  <c r="G403" i="21"/>
  <c r="G829" i="21"/>
  <c r="G992" i="21"/>
  <c r="G999" i="21"/>
  <c r="G280" i="21"/>
  <c r="G342" i="21"/>
  <c r="G482" i="21"/>
  <c r="G798" i="21"/>
  <c r="G1110" i="21"/>
  <c r="G803" i="21"/>
  <c r="G398" i="21"/>
  <c r="G271" i="21"/>
  <c r="G213" i="21"/>
  <c r="G64" i="21"/>
  <c r="G1104" i="21"/>
  <c r="G947" i="21"/>
  <c r="G835" i="21"/>
  <c r="G1191" i="21"/>
  <c r="G1091" i="21"/>
  <c r="G102" i="21"/>
  <c r="G1140" i="21"/>
  <c r="G1030" i="21"/>
  <c r="G264" i="21"/>
  <c r="G564" i="21"/>
  <c r="G614" i="21"/>
  <c r="G582" i="21"/>
  <c r="G222" i="21"/>
  <c r="G437" i="21"/>
  <c r="G388" i="21"/>
  <c r="G1209" i="21"/>
  <c r="G303" i="21"/>
  <c r="G824" i="21"/>
  <c r="G685" i="21"/>
  <c r="G908" i="21"/>
  <c r="G729" i="21"/>
  <c r="G950" i="21"/>
  <c r="G657" i="21"/>
  <c r="G1015" i="21"/>
  <c r="G524" i="21"/>
  <c r="G195" i="21"/>
  <c r="G525" i="21"/>
  <c r="G1175" i="21"/>
  <c r="G867" i="21"/>
  <c r="G970" i="21"/>
  <c r="G440" i="21"/>
  <c r="G338" i="21"/>
  <c r="G449" i="21"/>
  <c r="G1198" i="21"/>
  <c r="G296" i="21"/>
  <c r="G646" i="21"/>
  <c r="G89" i="21"/>
  <c r="G997" i="21"/>
  <c r="G602" i="21"/>
  <c r="G553" i="21"/>
  <c r="G273" i="21"/>
  <c r="G884" i="21"/>
  <c r="G55" i="21"/>
  <c r="G1141" i="21"/>
  <c r="G586" i="21"/>
  <c r="G197" i="21"/>
  <c r="G443" i="21"/>
  <c r="G966" i="21"/>
  <c r="G770" i="21"/>
  <c r="G995" i="21"/>
  <c r="G1160" i="21"/>
  <c r="G1010" i="21"/>
  <c r="G382" i="21"/>
  <c r="G92" i="21"/>
  <c r="G810" i="21"/>
  <c r="G299" i="21"/>
  <c r="G765" i="21"/>
  <c r="G1079" i="21"/>
  <c r="G1032" i="21"/>
  <c r="G100" i="21"/>
  <c r="G265" i="21"/>
  <c r="G1083" i="21"/>
  <c r="G915" i="21"/>
  <c r="G888" i="21"/>
  <c r="G214" i="21"/>
  <c r="G359" i="21"/>
  <c r="G528" i="21"/>
  <c r="G1070" i="21"/>
  <c r="G621" i="21"/>
  <c r="G996" i="21"/>
  <c r="G369" i="21"/>
  <c r="G421" i="21"/>
  <c r="G1157" i="21"/>
  <c r="G167" i="21"/>
  <c r="G353" i="21"/>
  <c r="G391" i="21"/>
  <c r="G674" i="21"/>
  <c r="G187" i="21"/>
  <c r="G1046" i="21"/>
  <c r="G977" i="21"/>
  <c r="G666" i="21"/>
  <c r="G676" i="21"/>
  <c r="G132" i="21"/>
  <c r="G343" i="21"/>
  <c r="G1095" i="21"/>
  <c r="G755" i="21"/>
  <c r="G552" i="21"/>
  <c r="G1031" i="21"/>
  <c r="G1101" i="21"/>
  <c r="G118" i="21"/>
  <c r="G990" i="21"/>
  <c r="G612" i="21"/>
  <c r="G562" i="21"/>
  <c r="G163" i="21"/>
  <c r="G816" i="21"/>
  <c r="G601" i="21"/>
  <c r="G465" i="21"/>
  <c r="G808" i="21"/>
  <c r="G218" i="21"/>
  <c r="G322" i="21"/>
  <c r="G289" i="21"/>
  <c r="G87" i="21"/>
  <c r="G48" i="21"/>
  <c r="G714" i="21"/>
  <c r="G270" i="21"/>
  <c r="G844" i="21"/>
  <c r="G305" i="21"/>
  <c r="G648" i="21"/>
  <c r="G663" i="21"/>
  <c r="G911" i="21"/>
  <c r="G91" i="21"/>
  <c r="G377" i="21"/>
  <c r="G566" i="21"/>
  <c r="G806" i="21"/>
  <c r="G939" i="21"/>
  <c r="G926" i="21"/>
  <c r="G69" i="21"/>
  <c r="G1019" i="21"/>
  <c r="G781" i="21"/>
  <c r="G594" i="21"/>
  <c r="G1163" i="21"/>
  <c r="G850" i="21"/>
  <c r="G240" i="21"/>
  <c r="G257" i="21"/>
  <c r="G882" i="21"/>
  <c r="G629" i="21"/>
  <c r="G949" i="21"/>
  <c r="G1145" i="21"/>
  <c r="G65" i="21"/>
  <c r="G332" i="21"/>
  <c r="G1055" i="21"/>
  <c r="G1121" i="21"/>
  <c r="G725" i="21"/>
  <c r="G523" i="21"/>
  <c r="G34" i="21"/>
  <c r="G874" i="21"/>
  <c r="G464" i="21"/>
  <c r="G658" i="21"/>
  <c r="G1043" i="21"/>
  <c r="G812" i="21"/>
  <c r="G1084" i="21"/>
  <c r="G702" i="21"/>
  <c r="G1001" i="21"/>
  <c r="G1068" i="21"/>
  <c r="G815" i="21"/>
  <c r="G162" i="21"/>
  <c r="G1112" i="21"/>
  <c r="G428" i="21"/>
  <c r="G568" i="21"/>
  <c r="G1072" i="21"/>
  <c r="G752" i="21"/>
  <c r="G399" i="21"/>
  <c r="G1100" i="21"/>
  <c r="G923" i="21"/>
  <c r="G784" i="21"/>
  <c r="G463" i="21"/>
  <c r="G830" i="21"/>
  <c r="G959" i="21"/>
  <c r="G446" i="21"/>
  <c r="G179" i="21"/>
  <c r="G1183" i="21"/>
  <c r="G249" i="21"/>
  <c r="G891" i="21"/>
  <c r="G223" i="21"/>
  <c r="G33" i="21"/>
  <c r="G981" i="21"/>
  <c r="G29" i="21"/>
  <c r="G328" i="21"/>
  <c r="G1006" i="21"/>
  <c r="G938" i="21"/>
  <c r="G1027" i="21"/>
  <c r="G183" i="21"/>
  <c r="G796" i="21"/>
  <c r="G1063" i="21"/>
  <c r="G341" i="21"/>
  <c r="G234" i="21"/>
  <c r="G711" i="21"/>
  <c r="G312" i="21"/>
  <c r="G1080" i="21"/>
  <c r="G145" i="21"/>
  <c r="G628" i="21"/>
  <c r="G701" i="21"/>
  <c r="G141" i="21"/>
  <c r="G467" i="21"/>
  <c r="G871" i="21"/>
  <c r="G1009" i="21"/>
  <c r="G111" i="21"/>
  <c r="G5" i="21"/>
  <c r="G773" i="21"/>
  <c r="G791" i="21"/>
  <c r="G684" i="21"/>
  <c r="G485" i="21"/>
  <c r="G1088" i="21"/>
  <c r="G331" i="21"/>
  <c r="G1049" i="21"/>
  <c r="G625" i="21"/>
  <c r="G536" i="21"/>
  <c r="G531" i="21"/>
  <c r="G45" i="21"/>
  <c r="G143" i="21"/>
  <c r="G1035" i="21"/>
  <c r="G247" i="21"/>
  <c r="G424" i="21"/>
  <c r="G372" i="21"/>
  <c r="G814" i="21"/>
  <c r="G224" i="21"/>
  <c r="G693" i="21"/>
  <c r="G242" i="21"/>
  <c r="G635" i="21"/>
  <c r="G873" i="21"/>
  <c r="G1184" i="21"/>
  <c r="G1152" i="21"/>
  <c r="G272" i="21"/>
  <c r="G1007" i="21"/>
  <c r="G831" i="21"/>
  <c r="G644" i="21"/>
  <c r="G451" i="21"/>
  <c r="G800" i="21"/>
  <c r="G1005" i="21"/>
  <c r="G535" i="21"/>
  <c r="G585" i="21"/>
  <c r="G1203" i="21"/>
  <c r="G872" i="21"/>
  <c r="G470" i="21"/>
  <c r="G77" i="21"/>
  <c r="G4" i="21"/>
  <c r="G821" i="21"/>
  <c r="G129" i="21"/>
  <c r="G294" i="21"/>
  <c r="G820" i="21"/>
  <c r="G24" i="21"/>
  <c r="G430" i="21"/>
  <c r="G623" i="21"/>
  <c r="G842" i="21"/>
  <c r="G520" i="21"/>
  <c r="G780" i="21"/>
  <c r="G745" i="21"/>
  <c r="G811" i="21"/>
  <c r="G177" i="21"/>
  <c r="G930" i="21"/>
  <c r="G10" i="21"/>
  <c r="G235" i="21"/>
  <c r="G951" i="21"/>
  <c r="G826" i="21"/>
  <c r="G1089" i="21"/>
  <c r="G876" i="21"/>
  <c r="G409" i="21"/>
  <c r="G719" i="21"/>
  <c r="G615" i="21"/>
  <c r="G85" i="21"/>
  <c r="G743" i="21"/>
  <c r="G325" i="21"/>
  <c r="G558" i="21"/>
  <c r="G347" i="21"/>
  <c r="G125" i="21"/>
  <c r="G357" i="21"/>
  <c r="G412" i="21"/>
  <c r="G979" i="21"/>
  <c r="G522" i="21"/>
  <c r="G606" i="21"/>
  <c r="G1133" i="21"/>
  <c r="G574" i="21"/>
  <c r="G840" i="21"/>
  <c r="G368" i="21"/>
  <c r="G1090" i="21"/>
  <c r="G283" i="21"/>
  <c r="G1064" i="21"/>
  <c r="G817" i="21"/>
  <c r="G12" i="21"/>
  <c r="G31" i="21"/>
  <c r="G861" i="21"/>
  <c r="G605" i="21"/>
  <c r="G1039" i="21"/>
  <c r="G653" i="21"/>
  <c r="G452" i="21"/>
  <c r="G591" i="21"/>
  <c r="G643" i="21"/>
  <c r="G204" i="21"/>
  <c r="G952" i="21"/>
  <c r="G8" i="21"/>
  <c r="G760" i="21"/>
  <c r="G1200" i="21"/>
  <c r="G736" i="21"/>
  <c r="G665" i="21"/>
  <c r="G448" i="21"/>
  <c r="G90" i="21"/>
  <c r="G14" i="21"/>
  <c r="G689" i="21"/>
  <c r="G921" i="21"/>
  <c r="G103" i="21"/>
  <c r="G70" i="21"/>
  <c r="G1105" i="21"/>
  <c r="G1092" i="21"/>
  <c r="G37" i="21"/>
  <c r="G227" i="21"/>
  <c r="G1172" i="21"/>
  <c r="G121" i="21"/>
  <c r="G180" i="21"/>
  <c r="G1044" i="21"/>
  <c r="G749" i="21"/>
  <c r="G927" i="21"/>
  <c r="G1174" i="21"/>
  <c r="G194" i="21"/>
  <c r="G86" i="21"/>
  <c r="G533" i="21"/>
  <c r="G117" i="21"/>
  <c r="G647" i="21"/>
  <c r="G282" i="21"/>
  <c r="G879" i="21"/>
  <c r="G135" i="21"/>
  <c r="G1057" i="21"/>
  <c r="G902" i="21"/>
  <c r="G255" i="21"/>
  <c r="G786" i="21"/>
  <c r="G1126" i="21"/>
  <c r="G1204" i="21"/>
  <c r="G1081" i="21"/>
  <c r="G675" i="21"/>
  <c r="G778" i="21"/>
  <c r="G547" i="21"/>
  <c r="G567" i="21"/>
  <c r="G1012" i="21"/>
  <c r="G139" i="21"/>
  <c r="G1176" i="21"/>
  <c r="G683" i="21"/>
  <c r="G801" i="21"/>
  <c r="G461" i="21"/>
  <c r="G660" i="21"/>
  <c r="G1082" i="21"/>
  <c r="G1038" i="21"/>
  <c r="G774" i="21"/>
  <c r="G1142" i="21"/>
  <c r="G370" i="21"/>
  <c r="G492" i="21"/>
  <c r="G466" i="21"/>
  <c r="G1212" i="21"/>
  <c r="G488" i="21"/>
  <c r="G146" i="21"/>
  <c r="G1181" i="21"/>
  <c r="G16" i="21"/>
  <c r="G337" i="21"/>
  <c r="G851" i="21"/>
  <c r="G473" i="21"/>
  <c r="G750" i="21"/>
  <c r="G503" i="21"/>
  <c r="G741" i="21"/>
  <c r="G813" i="21"/>
  <c r="G1045" i="21"/>
  <c r="G705" i="21"/>
  <c r="G544" i="21"/>
  <c r="G958" i="21"/>
  <c r="G974" i="21"/>
  <c r="G664" i="21"/>
  <c r="G375" i="21"/>
  <c r="G496" i="21"/>
  <c r="G1129" i="21"/>
  <c r="G692" i="21"/>
  <c r="G886" i="21"/>
  <c r="G26" i="21"/>
  <c r="G793" i="21"/>
  <c r="G36" i="21"/>
  <c r="G47" i="21"/>
  <c r="G315" i="21"/>
  <c r="G152" i="21"/>
  <c r="G54" i="21"/>
  <c r="G380" i="21"/>
  <c r="G973" i="21"/>
  <c r="G1026" i="21"/>
  <c r="G326" i="21"/>
  <c r="G1093" i="21"/>
  <c r="G969" i="21"/>
  <c r="G1166" i="21"/>
  <c r="G512" i="21"/>
  <c r="G241" i="21"/>
  <c r="G462" i="21"/>
  <c r="G941" i="21"/>
  <c r="G444" i="21"/>
  <c r="G1022" i="21"/>
  <c r="G138" i="21"/>
  <c r="G897" i="21"/>
  <c r="G61" i="21"/>
  <c r="G652" i="21"/>
  <c r="G1185" i="21"/>
  <c r="G860" i="21"/>
  <c r="G81" i="21"/>
  <c r="G495" i="21"/>
  <c r="G686" i="21"/>
  <c r="G833" i="21"/>
  <c r="G1065" i="21"/>
  <c r="G1165" i="21"/>
  <c r="G651" i="21"/>
  <c r="G6" i="21"/>
  <c r="G1147" i="21"/>
  <c r="G538" i="21"/>
  <c r="G673" i="21"/>
  <c r="G1074" i="21"/>
  <c r="G1040" i="21"/>
  <c r="G484" i="21"/>
  <c r="G155" i="21"/>
  <c r="G360" i="21"/>
  <c r="G971" i="21"/>
  <c r="G149" i="21"/>
  <c r="G71" i="21"/>
  <c r="G885" i="21"/>
  <c r="G1182" i="21"/>
  <c r="G469" i="21"/>
  <c r="G244" i="21"/>
  <c r="G619" i="21"/>
  <c r="G60" i="21"/>
  <c r="G75" i="21"/>
  <c r="G174" i="21"/>
  <c r="G788" i="21"/>
  <c r="G252" i="21"/>
  <c r="G1210" i="21"/>
  <c r="G753" i="21"/>
  <c r="G243" i="21"/>
  <c r="G269" i="21"/>
  <c r="G175" i="21"/>
  <c r="G199" i="21"/>
  <c r="G1020" i="21"/>
  <c r="G156" i="21"/>
  <c r="G127" i="21"/>
  <c r="G254" i="21"/>
  <c r="G287" i="21"/>
  <c r="G1111" i="21"/>
  <c r="G202" i="21"/>
  <c r="G852" i="21"/>
  <c r="G310" i="21"/>
  <c r="G790" i="21"/>
  <c r="G680" i="21"/>
  <c r="G836" i="21"/>
  <c r="G1048" i="21"/>
  <c r="G668" i="21"/>
  <c r="G929" i="21"/>
  <c r="G164" i="21"/>
  <c r="G707" i="21"/>
  <c r="G137" i="21"/>
  <c r="G607" i="21"/>
  <c r="G697" i="21"/>
  <c r="G32" i="21"/>
  <c r="G560" i="21"/>
  <c r="G417" i="21"/>
  <c r="G804" i="21"/>
  <c r="G66" i="21"/>
  <c r="G115" i="21"/>
  <c r="G212" i="21"/>
  <c r="G681" i="21"/>
  <c r="G1136" i="21"/>
  <c r="G620" i="21"/>
  <c r="G961" i="21"/>
  <c r="G481" i="21"/>
  <c r="G459" i="21"/>
  <c r="G935" i="21"/>
  <c r="G419" i="21"/>
  <c r="G230" i="21"/>
  <c r="G355" i="21"/>
  <c r="G288" i="21"/>
  <c r="G476" i="21"/>
  <c r="G1155" i="21"/>
  <c r="G293" i="21"/>
  <c r="G766" i="21"/>
  <c r="G572" i="21"/>
  <c r="G627" i="21"/>
  <c r="G890" i="21"/>
  <c r="G1119" i="21"/>
  <c r="G309" i="21"/>
  <c r="G744" i="21"/>
  <c r="G210" i="21"/>
  <c r="G931" i="21"/>
  <c r="G274" i="21"/>
  <c r="G350" i="21"/>
  <c r="G934" i="21"/>
  <c r="G546" i="21"/>
  <c r="G363" i="21"/>
  <c r="G425" i="21"/>
  <c r="G1075" i="21"/>
  <c r="G1018" i="21"/>
  <c r="G413" i="21"/>
  <c r="G266" i="21"/>
  <c r="G232" i="21"/>
  <c r="G114" i="21"/>
  <c r="G595" i="21"/>
  <c r="G333" i="21"/>
  <c r="G597" i="21"/>
  <c r="G751" i="21"/>
  <c r="G46" i="21"/>
  <c r="G435" i="21"/>
  <c r="G771" i="21"/>
  <c r="G311" i="21"/>
  <c r="G110" i="21"/>
  <c r="G577" i="21"/>
  <c r="G843" i="21"/>
  <c r="G499" i="21"/>
  <c r="G1158" i="21"/>
  <c r="G1207" i="21"/>
  <c r="G703" i="21"/>
  <c r="G782" i="21"/>
  <c r="G116" i="21"/>
  <c r="G262" i="21"/>
  <c r="G371" i="21"/>
  <c r="G600" i="21"/>
  <c r="G1114" i="21"/>
  <c r="G892" i="21"/>
  <c r="G639" i="21"/>
  <c r="G1069" i="21"/>
  <c r="G1180" i="21"/>
  <c r="G937" i="21"/>
  <c r="G556" i="21"/>
  <c r="G21" i="21"/>
  <c r="G650" i="21"/>
  <c r="G955" i="21"/>
  <c r="G104" i="21"/>
  <c r="G900" i="21"/>
  <c r="G690" i="21"/>
  <c r="G555" i="21"/>
  <c r="G334" i="21"/>
  <c r="G919" i="21"/>
  <c r="G286" i="21"/>
  <c r="G384" i="21"/>
  <c r="G1016" i="21"/>
  <c r="G201" i="21"/>
  <c r="G436" i="21"/>
  <c r="G1170" i="21"/>
  <c r="G190" i="21"/>
  <c r="G1214" i="21"/>
  <c r="G889" i="21"/>
  <c r="G410" i="21"/>
  <c r="G865" i="21"/>
  <c r="G281" i="21"/>
  <c r="G695" i="21"/>
  <c r="G157" i="21"/>
  <c r="G319" i="21"/>
  <c r="G140" i="21"/>
  <c r="G245" i="21"/>
  <c r="G59" i="21"/>
  <c r="G823" i="21"/>
  <c r="G717" i="21"/>
  <c r="G960" i="21"/>
  <c r="G165" i="21"/>
  <c r="G42" i="21"/>
  <c r="G909" i="21"/>
  <c r="G335" i="21"/>
  <c r="G976" i="21"/>
  <c r="G699" i="21"/>
  <c r="G517" i="21"/>
  <c r="G1099" i="21"/>
  <c r="G447" i="21"/>
  <c r="G570" i="21"/>
  <c r="G613" i="21"/>
  <c r="G390" i="21"/>
  <c r="G720" i="21"/>
  <c r="G945" i="21"/>
  <c r="G297" i="21"/>
  <c r="G72" i="21"/>
  <c r="G986" i="21"/>
  <c r="G58" i="21"/>
  <c r="G445" i="21"/>
  <c r="G196" i="21"/>
  <c r="G559" i="21"/>
  <c r="G330" i="21"/>
  <c r="G759" i="21"/>
  <c r="G592" i="21"/>
  <c r="G1192" i="21"/>
  <c r="G23" i="21"/>
  <c r="G84" i="21"/>
  <c r="G573" i="21"/>
  <c r="G258" i="21"/>
  <c r="G1037" i="21"/>
  <c r="G912" i="21"/>
  <c r="G925" i="21"/>
  <c r="G940" i="21"/>
  <c r="G662" i="21"/>
  <c r="G358" i="21"/>
  <c r="G1164" i="21"/>
  <c r="G588" i="21"/>
  <c r="G604" i="21"/>
  <c r="G246" i="21"/>
  <c r="G98" i="21"/>
  <c r="G414" i="21"/>
  <c r="G95" i="21"/>
  <c r="G477" i="21"/>
  <c r="G825" i="21"/>
  <c r="G677" i="21"/>
  <c r="G772" i="21"/>
  <c r="G988" i="21"/>
  <c r="G93" i="21"/>
  <c r="G475" i="21"/>
  <c r="G722" i="21"/>
  <c r="G1168" i="21"/>
  <c r="G1146" i="21"/>
  <c r="G56" i="21"/>
  <c r="G598" i="21"/>
  <c r="G656" i="21"/>
  <c r="G832" i="21"/>
  <c r="G362" i="21"/>
  <c r="G38" i="21"/>
  <c r="G1167" i="21"/>
  <c r="G696" i="21"/>
  <c r="G39" i="21"/>
  <c r="G263" i="21"/>
  <c r="G1177" i="21"/>
  <c r="G1051" i="21"/>
  <c r="G94" i="21"/>
  <c r="G895" i="21"/>
  <c r="G373" i="21"/>
  <c r="G387" i="21"/>
  <c r="G306" i="21"/>
  <c r="G691" i="21"/>
  <c r="G25" i="21"/>
  <c r="G415" i="21"/>
  <c r="G153" i="21"/>
  <c r="G728" i="21"/>
  <c r="G1013" i="21"/>
  <c r="G106" i="21"/>
  <c r="G942" i="21"/>
  <c r="G757" i="21"/>
  <c r="G854" i="21"/>
  <c r="G401" i="21"/>
  <c r="G178" i="21"/>
  <c r="G993" i="21"/>
  <c r="G561" i="21"/>
  <c r="G991" i="21"/>
  <c r="G1138" i="21"/>
  <c r="G1059" i="21"/>
  <c r="G645" i="21"/>
  <c r="G747" i="21"/>
  <c r="G866" i="21"/>
  <c r="G963" i="21"/>
  <c r="G35" i="21"/>
  <c r="G818" i="21"/>
  <c r="G1178" i="21"/>
  <c r="G989" i="21"/>
  <c r="G1123" i="21"/>
  <c r="G151" i="21"/>
  <c r="G540" i="21"/>
  <c r="G408" i="21"/>
  <c r="G920" i="21"/>
  <c r="G881" i="21"/>
  <c r="G168" i="21"/>
  <c r="G217" i="21"/>
  <c r="G441" i="21"/>
  <c r="G431" i="21"/>
  <c r="G489" i="21"/>
  <c r="G638" i="21"/>
  <c r="G1193" i="21"/>
  <c r="G19" i="21"/>
  <c r="G182" i="21"/>
  <c r="G641" i="21"/>
  <c r="G853" i="21"/>
  <c r="G364" i="21"/>
  <c r="G742" i="21"/>
  <c r="G1108" i="21"/>
  <c r="G1153" i="21"/>
  <c r="G901" i="21"/>
  <c r="G1017" i="21"/>
  <c r="G637" i="21"/>
  <c r="G327" i="21"/>
  <c r="G491" i="21"/>
  <c r="G154" i="21"/>
  <c r="G76" i="21"/>
  <c r="G1113" i="21"/>
  <c r="G906" i="21"/>
  <c r="G1085" i="21"/>
  <c r="G316" i="21"/>
  <c r="G160" i="21"/>
  <c r="G1173" i="21"/>
  <c r="G1139" i="21"/>
  <c r="G501" i="21"/>
  <c r="G291" i="21"/>
  <c r="G433" i="21"/>
  <c r="G426" i="21"/>
  <c r="G982" i="21"/>
  <c r="G471" i="21"/>
  <c r="G216" i="21"/>
  <c r="G1004" i="21"/>
  <c r="G509" i="21"/>
  <c r="G727" i="21"/>
  <c r="G511" i="21"/>
  <c r="G508" i="21"/>
  <c r="G453" i="21"/>
  <c r="G521" i="21"/>
  <c r="G267" i="21"/>
  <c r="G584" i="21"/>
  <c r="G849" i="21"/>
  <c r="G878" i="21"/>
  <c r="G460" i="21"/>
  <c r="G505" i="21"/>
  <c r="G1041" i="21"/>
  <c r="G822" i="21"/>
  <c r="G698" i="21"/>
  <c r="G215" i="21"/>
  <c r="G869" i="21"/>
  <c r="G454" i="21"/>
  <c r="G458" i="21"/>
  <c r="G642" i="21"/>
  <c r="G62" i="21"/>
  <c r="G862" i="21"/>
  <c r="G563" i="21"/>
  <c r="G1213" i="21"/>
  <c r="G198" i="21"/>
  <c r="G583" i="21"/>
  <c r="G27" i="21"/>
  <c r="G504" i="21"/>
  <c r="G1211" i="21"/>
  <c r="G700" i="21"/>
  <c r="G18" i="21"/>
  <c r="G649" i="21"/>
  <c r="G1060" i="21"/>
  <c r="G1086" i="21"/>
  <c r="G507" i="21"/>
  <c r="G159" i="21"/>
  <c r="G839" i="21"/>
  <c r="G526" i="21"/>
  <c r="G9" i="21"/>
  <c r="G1161" i="21"/>
  <c r="G542" i="21"/>
  <c r="G74" i="21"/>
  <c r="G188" i="21"/>
  <c r="G777" i="21"/>
  <c r="G762" i="21"/>
  <c r="G984" i="21"/>
  <c r="G857" i="21"/>
  <c r="G1024" i="21"/>
  <c r="G1149" i="21"/>
  <c r="G838" i="21"/>
  <c r="G43" i="21"/>
  <c r="G792" i="21"/>
  <c r="G1071" i="21"/>
  <c r="G1199" i="21"/>
  <c r="G904" i="21"/>
  <c r="G1179" i="21"/>
  <c r="G130" i="21"/>
  <c r="G301" i="21"/>
  <c r="G112" i="21"/>
  <c r="G192" i="21"/>
  <c r="G630" i="21"/>
  <c r="G1151" i="21"/>
  <c r="G383" i="21"/>
  <c r="G113" i="21"/>
  <c r="G944" i="21"/>
  <c r="G899" i="21"/>
  <c r="G361" i="21"/>
  <c r="G1052" i="21"/>
  <c r="G534" i="21"/>
  <c r="G1097" i="21"/>
  <c r="G1125" i="21"/>
  <c r="G603" i="21"/>
  <c r="G173" i="21"/>
  <c r="G1190" i="21"/>
  <c r="G166" i="21"/>
  <c r="G775" i="21"/>
  <c r="G590" i="21"/>
  <c r="G581" i="21"/>
  <c r="G439" i="21"/>
  <c r="G136" i="21"/>
  <c r="G219" i="21"/>
  <c r="G381" i="21"/>
  <c r="G348" i="21"/>
  <c r="G622" i="21"/>
  <c r="G794" i="21"/>
  <c r="G713" i="21"/>
  <c r="G718" i="21"/>
  <c r="G256" i="21"/>
  <c r="G616" i="21"/>
  <c r="G131" i="21"/>
  <c r="G1128" i="21"/>
  <c r="G880" i="21"/>
  <c r="G397" i="21"/>
  <c r="G767" i="21"/>
  <c r="G746" i="21"/>
  <c r="G723" i="21"/>
  <c r="G1131" i="21"/>
  <c r="G307" i="21"/>
  <c r="G490" i="21"/>
  <c r="G429" i="21"/>
  <c r="G1034" i="21"/>
  <c r="G589" i="21"/>
  <c r="G994" i="21"/>
  <c r="G396" i="21"/>
  <c r="G221" i="21"/>
  <c r="G1096" i="21"/>
  <c r="G968" i="21"/>
  <c r="G576" i="21"/>
  <c r="G275" i="21"/>
  <c r="G679" i="21"/>
  <c r="G670" i="21"/>
  <c r="G405" i="21"/>
  <c r="G147" i="21"/>
  <c r="G1066" i="21"/>
  <c r="G868" i="21"/>
  <c r="G513" i="21"/>
  <c r="G870" i="21"/>
  <c r="G472" i="21"/>
  <c r="G494" i="21"/>
  <c r="G422" i="21"/>
  <c r="G515" i="21"/>
  <c r="G654" i="21"/>
  <c r="G661" i="21"/>
  <c r="G237" i="21"/>
  <c r="G99" i="21"/>
  <c r="G203" i="21"/>
  <c r="G1087" i="21"/>
  <c r="G709" i="21"/>
  <c r="G259" i="21"/>
  <c r="G298" i="21"/>
  <c r="G144" i="21"/>
  <c r="G933" i="21"/>
  <c r="G238" i="21"/>
  <c r="G389" i="21"/>
  <c r="G864" i="21"/>
  <c r="G276" i="21"/>
  <c r="G1196" i="21"/>
  <c r="G1002" i="21"/>
  <c r="G863" i="21"/>
  <c r="G618" i="21"/>
  <c r="G336" i="21"/>
  <c r="G185" i="21"/>
  <c r="G1194" i="21"/>
  <c r="G442" i="21"/>
  <c r="G1118" i="21"/>
  <c r="G541" i="21"/>
  <c r="G1033" i="21"/>
  <c r="G783" i="21"/>
  <c r="G82" i="21"/>
  <c r="G1115" i="21"/>
  <c r="G967" i="21"/>
  <c r="G724" i="21"/>
  <c r="G898" i="21"/>
  <c r="G50" i="21"/>
  <c r="G20" i="21"/>
  <c r="G962" i="21"/>
  <c r="G278" i="21"/>
  <c r="G608" i="21"/>
  <c r="G493" i="21"/>
  <c r="G506" i="21"/>
  <c r="G910" i="21"/>
  <c r="G376" i="21"/>
  <c r="G1094" i="21"/>
  <c r="G229" i="21"/>
  <c r="G715" i="21"/>
  <c r="G1036" i="21"/>
  <c r="G516" i="21"/>
  <c r="G1023" i="21"/>
  <c r="G349" i="21"/>
  <c r="G1188" i="21"/>
  <c r="G848" i="21"/>
  <c r="G527" i="21"/>
  <c r="G404" i="21"/>
  <c r="G308" i="21"/>
  <c r="G847" i="21"/>
  <c r="G858" i="21"/>
  <c r="G479" i="21"/>
  <c r="G344" i="21"/>
  <c r="G726" i="21"/>
  <c r="G468" i="21"/>
  <c r="G17" i="21"/>
  <c r="G1189" i="21"/>
  <c r="G877" i="21"/>
  <c r="G300" i="21"/>
  <c r="G1127" i="21"/>
  <c r="G44" i="21"/>
  <c r="G231" i="21"/>
  <c r="G80" i="21"/>
  <c r="G407" i="21"/>
  <c r="G128" i="21"/>
  <c r="G633" i="21"/>
  <c r="G1122" i="21"/>
  <c r="G956" i="21"/>
  <c r="G123" i="21"/>
  <c r="G191" i="21"/>
  <c r="G1021" i="21"/>
  <c r="G97" i="21"/>
  <c r="G913" i="21"/>
  <c r="G846" i="21"/>
  <c r="G96" i="21"/>
  <c r="G193" i="21"/>
  <c r="G354" i="21"/>
  <c r="G150" i="21"/>
  <c r="G1050" i="21"/>
  <c r="G478" i="21"/>
  <c r="G802" i="21"/>
  <c r="G688" i="21"/>
  <c r="G518" i="21"/>
  <c r="G841" i="21"/>
  <c r="G785" i="21"/>
  <c r="G49"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80" authorId="0" shapeId="0" xr:uid="{466C5CD5-0FD8-4C99-95AE-17BC78543381}">
      <text>
        <r>
          <rPr>
            <b/>
            <sz val="9"/>
            <color indexed="81"/>
            <rFont val="Tahoma"/>
            <family val="2"/>
          </rPr>
          <t>Author:</t>
        </r>
        <r>
          <rPr>
            <sz val="9"/>
            <color indexed="81"/>
            <rFont val="Tahoma"/>
            <family val="2"/>
          </rPr>
          <t xml:space="preserve">
(To Intermediary for beneficiary distribution)</t>
        </r>
      </text>
    </comment>
    <comment ref="I581" authorId="0" shapeId="0" xr:uid="{253DA6AE-742F-4A94-AA89-2509C3D3620B}">
      <text>
        <r>
          <rPr>
            <b/>
            <sz val="9"/>
            <color indexed="81"/>
            <rFont val="Tahoma"/>
            <family val="2"/>
          </rPr>
          <t>Author:</t>
        </r>
        <r>
          <rPr>
            <sz val="9"/>
            <color indexed="81"/>
            <rFont val="Tahoma"/>
            <family val="2"/>
          </rPr>
          <t xml:space="preserve">
(To beneficiaries or other NGOs/partner/ etc...)</t>
        </r>
      </text>
    </comment>
    <comment ref="I582" authorId="0" shapeId="0" xr:uid="{9DAB018D-F3FA-4569-8759-D4FE4FD097AA}">
      <text>
        <r>
          <rPr>
            <b/>
            <sz val="9"/>
            <color indexed="81"/>
            <rFont val="Tahoma"/>
            <family val="2"/>
          </rPr>
          <t>Author:</t>
        </r>
        <r>
          <rPr>
            <sz val="9"/>
            <color indexed="81"/>
            <rFont val="Tahoma"/>
            <family val="2"/>
          </rPr>
          <t xml:space="preserve">
(For use within your NGO)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<sst xmlns="http://schemas.openxmlformats.org/spreadsheetml/2006/main" count="11596" uniqueCount="2760">
  <si>
    <t>Data Standard Version:</t>
  </si>
  <si>
    <t>1.0</t>
  </si>
  <si>
    <t>Release date:</t>
  </si>
  <si>
    <t>Readme</t>
  </si>
  <si>
    <t>This document contains the current Frontline Humanitarian Logistics data standard, distributed across three interlinked sheets:</t>
  </si>
  <si>
    <r>
      <t>· </t>
    </r>
    <r>
      <rPr>
        <b/>
        <sz val="12"/>
        <color theme="1"/>
        <rFont val="Calibri"/>
        <family val="2"/>
        <scheme val="minor"/>
      </rPr>
      <t xml:space="preserve">Processes: </t>
    </r>
    <r>
      <rPr>
        <sz val="12"/>
        <color theme="1"/>
        <rFont val="Calibri"/>
        <family val="2"/>
        <scheme val="minor"/>
      </rPr>
      <t xml:space="preserve">all processes are listed together with their descriptions.  See Process Framework section below for further details, including high level diagram. </t>
    </r>
  </si>
  <si>
    <r>
      <t>· </t>
    </r>
    <r>
      <rPr>
        <b/>
        <sz val="12"/>
        <color theme="1"/>
        <rFont val="Calibri"/>
        <family val="2"/>
        <scheme val="minor"/>
      </rPr>
      <t>Data:</t>
    </r>
    <r>
      <rPr>
        <sz val="12"/>
        <color theme="1"/>
        <rFont val="Calibri"/>
        <family val="2"/>
        <scheme val="minor"/>
      </rPr>
      <t xml:space="preserve"> all data are listed together with their descriptions.  Column G automatically summarises the linkages between the data and processes that are held in the Mapping sheet.  See Data Items section for further information.</t>
    </r>
  </si>
  <si>
    <r>
      <t>· </t>
    </r>
    <r>
      <rPr>
        <b/>
        <sz val="12"/>
        <color theme="1"/>
        <rFont val="Calibri"/>
        <family val="2"/>
        <scheme val="minor"/>
      </rPr>
      <t xml:space="preserve">Mapping Processes --&gt; Data: </t>
    </r>
    <r>
      <rPr>
        <sz val="12"/>
        <color theme="1"/>
        <rFont val="Calibri"/>
        <family val="2"/>
        <scheme val="minor"/>
      </rPr>
      <t>indicates where each of the data items are used in each of the processes.  All linkages are between level 2 Process Categories / Variants and level 1 Data Entity Groups.</t>
    </r>
  </si>
  <si>
    <r>
      <t xml:space="preserve">There is also a </t>
    </r>
    <r>
      <rPr>
        <b/>
        <sz val="12"/>
        <color theme="1"/>
        <rFont val="Calibri"/>
        <family val="2"/>
        <scheme val="minor"/>
      </rPr>
      <t>Summary</t>
    </r>
    <r>
      <rPr>
        <sz val="12"/>
        <color theme="1"/>
        <rFont val="Calibri"/>
        <family val="2"/>
        <scheme val="minor"/>
      </rPr>
      <t xml:space="preserve"> sheet that</t>
    </r>
    <r>
      <rPr>
        <b/>
        <sz val="12"/>
        <color theme="1"/>
        <rFont val="Calibri"/>
        <family val="2"/>
        <scheme val="minor"/>
      </rPr>
      <t xml:space="preserve"> </t>
    </r>
    <r>
      <rPr>
        <sz val="12"/>
        <color theme="1"/>
        <rFont val="Calibri"/>
        <family val="2"/>
        <scheme val="minor"/>
      </rPr>
      <t>provides an alternative representation of Data and Processes all in one sheet (information is a duplicate of the other sheets, Data and Processes sheets are the authorative source)</t>
    </r>
  </si>
  <si>
    <t>Please also see accompanying documents for further details on:</t>
  </si>
  <si>
    <r>
      <rPr>
        <b/>
        <sz val="12"/>
        <color theme="1"/>
        <rFont val="Calibri"/>
        <family val="2"/>
        <scheme val="minor"/>
      </rPr>
      <t>· FHDataStandardGuide:</t>
    </r>
    <r>
      <rPr>
        <sz val="12"/>
        <color theme="1"/>
        <rFont val="Calibri"/>
        <family val="2"/>
        <scheme val="minor"/>
      </rPr>
      <t xml:space="preserve"> initiative background, methodology undertaken to achieve the standard as well as process to update and govern the standard . </t>
    </r>
  </si>
  <si>
    <r>
      <rPr>
        <b/>
        <sz val="12"/>
        <color theme="1"/>
        <rFont val="Calibri"/>
        <family val="2"/>
        <scheme val="minor"/>
      </rPr>
      <t>· FHLThesaurus:</t>
    </r>
    <r>
      <rPr>
        <sz val="12"/>
        <color theme="1"/>
        <rFont val="Calibri"/>
        <family val="2"/>
        <scheme val="minor"/>
      </rPr>
      <t xml:space="preserve"> terms used in the initiative, together with corresponding terms that were used by contributing experts, towards a common understanding of the Process Framework and Data Items.</t>
    </r>
  </si>
  <si>
    <r>
      <rPr>
        <b/>
        <sz val="12"/>
        <color theme="1"/>
        <rFont val="Calibri"/>
        <family val="2"/>
        <scheme val="minor"/>
      </rPr>
      <t>· FHLChanges:</t>
    </r>
    <r>
      <rPr>
        <sz val="12"/>
        <color theme="1"/>
        <rFont val="Calibri"/>
        <family val="2"/>
        <scheme val="minor"/>
      </rPr>
      <t xml:space="preserve"> change log for the data standard including potential and confirmed addendums (versions).</t>
    </r>
  </si>
  <si>
    <t>Process Framework</t>
  </si>
  <si>
    <t>Broadly the Frontline Humanitarian Logistics initiative addresses the font end of field level operations:</t>
  </si>
  <si>
    <t>Key for Process Framework Diagram</t>
  </si>
  <si>
    <t>Generic Logistics Processes</t>
  </si>
  <si>
    <t>Humanitarian Specific Processes</t>
  </si>
  <si>
    <t>Enabling Processes</t>
  </si>
  <si>
    <t>Example of framework structure</t>
  </si>
  <si>
    <t>Level in Framework</t>
  </si>
  <si>
    <t>Title of framework Item</t>
  </si>
  <si>
    <t>Process Level 1 (PL1):</t>
  </si>
  <si>
    <t>04 Transport</t>
  </si>
  <si>
    <t>Process Level 2 (PL2):</t>
  </si>
  <si>
    <t>04.01 Transport planning</t>
  </si>
  <si>
    <t>04.02 Inbound transport of goods</t>
  </si>
  <si>
    <t>04.03 Outbound transport of goods</t>
  </si>
  <si>
    <t>04.04 Transport of People (Last-mile in-country transport)</t>
  </si>
  <si>
    <t>The process framework is structured into two Process Levels (see example above of process structure):</t>
  </si>
  <si>
    <t>Process Level 1 (PL1) - Process Group:</t>
  </si>
  <si>
    <t xml:space="preserve">Top level grouping of processes, listed in the order following the commonly accepted flow of goods.  Letters are used to indicate where there are variants ( similar but distinct set of alternative processes within the top level Process Group, for example 2a and 2b). </t>
  </si>
  <si>
    <t>Process Level 2 (PL2) - Process Category/ Variant:</t>
  </si>
  <si>
    <t>Sub-groups of processes listed underneath each corresponding Process Group (PL1).</t>
  </si>
  <si>
    <t>The ID column provides a natural/ business key that reflects the structure of the Process Framework for ease of reference, as well as for use in the Mapping sheet.</t>
  </si>
  <si>
    <t>Data Items</t>
  </si>
  <si>
    <t>Data Items in this standard represent functional sector requirements rather than a technical data structure that may be implemented in an IT system.  They are structured into three data levels:</t>
  </si>
  <si>
    <t>Data Level 1 (DL1) - Data Entity Group:</t>
  </si>
  <si>
    <t>Top level Reports and Input/output Business forms/documents, such as Purchase Order, Packing List; Master Data (Supplier/Item Master), Transaction Data (such as Inventory, Receiving, Shipping)</t>
  </si>
  <si>
    <t>Data Level 2 (DL2) - Data Entity:</t>
  </si>
  <si>
    <t>Sub-groups of each Data Group (DL1), most will have 2-5 Data Entity sub-groups (DL2s). Business forms/documents have at least ‘Header’ and ‘Line’ Level 2 Data entities (see naming convention table below for further explanation)</t>
  </si>
  <si>
    <t>Data Level 3 (DL3) - Data Element:</t>
  </si>
  <si>
    <t xml:space="preserve">Individual attributes/fields/ elements - such as Item number, Price, Quantity or Transport mode on PO </t>
  </si>
  <si>
    <t>The ID column provides a natural/ business key that reflects the structure of the Data Items for ease of reference, as well as for use in the Mapping sheet.</t>
  </si>
  <si>
    <t>Where appropriate the following naming convention has been used:</t>
  </si>
  <si>
    <t>Keyword</t>
  </si>
  <si>
    <t>Example</t>
  </si>
  <si>
    <t>Explanation</t>
  </si>
  <si>
    <t>Report:</t>
  </si>
  <si>
    <t>Stock Summary Report</t>
  </si>
  <si>
    <t>Can be either a report generated from system to display information to a user or a more formal business form/document used to communicate external parties; such as a Purchase Order or Bill of Lading</t>
  </si>
  <si>
    <t xml:space="preserve"> Master:</t>
  </si>
  <si>
    <t>Item Master</t>
  </si>
  <si>
    <t>Master data that would be set up in a system</t>
  </si>
  <si>
    <t xml:space="preserve"> General:</t>
  </si>
  <si>
    <t>Supplier General</t>
  </si>
  <si>
    <t>Basic set of data for a particular entity; for example, on a Supplier record that could be- Supplier #, Name, Supplier group, default language or currency</t>
  </si>
  <si>
    <t xml:space="preserve"> Header:</t>
  </si>
  <si>
    <t>Purchase Order Header</t>
  </si>
  <si>
    <t>Different types of system transactions often have general header information that apply to a number of lines in system; such as with purchase orders, invoices or shipments.</t>
  </si>
  <si>
    <t xml:space="preserve"> Line:</t>
  </si>
  <si>
    <t>Purchase Order Line</t>
  </si>
  <si>
    <t>Line detail is used where there are transactions or reports that typically have a header and line item detail structure where there is different data for each line</t>
  </si>
  <si>
    <t>Detail:</t>
  </si>
  <si>
    <t>Inventory Lot Tracing Detail</t>
  </si>
  <si>
    <t>"Detail" by itself is used to represent where there is an additional set of data required for the report or transaction, but not necessarily organized in a more formal header and line structure</t>
  </si>
  <si>
    <t xml:space="preserve">Flag: </t>
  </si>
  <si>
    <t>On loan flag</t>
  </si>
  <si>
    <t xml:space="preserve">any TRUE/FALSE type elements </t>
  </si>
  <si>
    <t>Transactions:</t>
  </si>
  <si>
    <t>Inventory Transactions</t>
  </si>
  <si>
    <t>Data that would be needed to execute transactions in a business system</t>
  </si>
  <si>
    <t>Processes</t>
  </si>
  <si>
    <t>P ID</t>
  </si>
  <si>
    <t>Process Level</t>
  </si>
  <si>
    <t>PL1 Process Group</t>
  </si>
  <si>
    <t>PL2 Process Category/ Variant</t>
  </si>
  <si>
    <t>Comment/ Description</t>
  </si>
  <si>
    <t>P0100</t>
  </si>
  <si>
    <t>Group</t>
  </si>
  <si>
    <t xml:space="preserve">01 Supply and Logistics Planning </t>
  </si>
  <si>
    <t/>
  </si>
  <si>
    <t>The processes associated with determining needs and actions to achieve supply chain objectives.</t>
  </si>
  <si>
    <t>P0101</t>
  </si>
  <si>
    <t>Category/ Variant</t>
  </si>
  <si>
    <t>01.01 Needs Assessment for goods, kits, services or works from program and/or operation management</t>
  </si>
  <si>
    <t>The process associated with obtaining an estimate of the overall needs of goods, services and works for a location and scheduling the other processes accordingly.</t>
  </si>
  <si>
    <t>P0102</t>
  </si>
  <si>
    <t>01.02 Review and Update of Needs Assessment for goods, kits, services or works</t>
  </si>
  <si>
    <t>The process associated with reviewing, updating the overall needs of goods, services of works, periodically or in a change of context (operational, environmental, or other reasons) and scheduling the other processes accordingly.</t>
  </si>
  <si>
    <t>P0103</t>
  </si>
  <si>
    <t xml:space="preserve">01.03 Order and Procurement Planning </t>
  </si>
  <si>
    <t xml:space="preserve">The process associated with gathering and structuring the needs of goods, services and works into an order and procurement plan, with specific supply channels, time schedule and budget linkage. </t>
  </si>
  <si>
    <t>P0104</t>
  </si>
  <si>
    <t xml:space="preserve">01.04 Financial Planning </t>
  </si>
  <si>
    <t xml:space="preserve">The process associated with balancing the financial resources and the expenses, in a precise time schedule. </t>
  </si>
  <si>
    <t>P0200</t>
  </si>
  <si>
    <t>02 Procurement</t>
  </si>
  <si>
    <t>The processes associated with ordering, delivery, receipt and transfer of:
a. goods or kits,
b. services or work.</t>
  </si>
  <si>
    <t>P0201</t>
  </si>
  <si>
    <t>02a Procurement of goods or kits</t>
  </si>
  <si>
    <t>02.01 Procurement planning of goods or kits</t>
  </si>
  <si>
    <t>The process associated with tactical management of procurement activities for goods and kits, including among others but not exclusively, supplier management, contract follow-up, market assement update schedules, procurement schedule, pipeline monitoring and coordination with Finance.</t>
  </si>
  <si>
    <t>P0202</t>
  </si>
  <si>
    <t xml:space="preserve">02.02 Markets assessment of goods or kits </t>
  </si>
  <si>
    <t>The process associated with assessing available supply sources for goods and kits in one or more markets, including among others but not exclusively, supplier information, quality assurance, framework agreements and negociated price list.</t>
  </si>
  <si>
    <t>P0203</t>
  </si>
  <si>
    <t>02.03 Procurement method selection</t>
  </si>
  <si>
    <t>The process associated with selecting and conducting the appropriate procurement method in line with procurement threshold for goods and kits, including among others but not exclusively,  direct purchase, one quote, waivers, request for quotations, tender process and Comparative Bid Analysis.</t>
  </si>
  <si>
    <t>P0204</t>
  </si>
  <si>
    <t xml:space="preserve">02.04 Procurement derogation validation </t>
  </si>
  <si>
    <t xml:space="preserve">The process associated with validating and recording a procurement derogation process for goods and kits, including among others but not exclusively, proof of supplier monopoly, justification of lead time urgency, headquarter electronic validation, and local regulations derogation. </t>
  </si>
  <si>
    <t>P0205</t>
  </si>
  <si>
    <t>02.05 Purchase Order management for goods or kits</t>
  </si>
  <si>
    <t xml:space="preserve">The process associated with receiving, creating, validating and issuing a purchase order for goods and kits, including among others but not exclusively, follow-up with suppliers, and the update of the PO upon reception in the warehouse. </t>
  </si>
  <si>
    <t>P0206</t>
  </si>
  <si>
    <t>02.06 Invoice matching and payment</t>
  </si>
  <si>
    <t xml:space="preserve">The process associated with processing and validating an invoice for goods or kits, including among others but not exclusively, payment proceeding, PO closure and invoice closure. </t>
  </si>
  <si>
    <t>P0207</t>
  </si>
  <si>
    <t>02.07 Donation (Request for in kind donation)</t>
  </si>
  <si>
    <t xml:space="preserve">The process associated with requesting a donation of goods or kits within the organization or to an external organization as a procurement method, including among others but not exclusively, identification of an external party, donation cerficate validation and donation certificate recording. </t>
  </si>
  <si>
    <t>P0208</t>
  </si>
  <si>
    <t>02b Procurement of services or works</t>
  </si>
  <si>
    <t>02.08 Procurement planning of services or works</t>
  </si>
  <si>
    <t>The process associated with tactical management of procurement activities for services and works, including among others but not exclusively, supplier management, contracts follow-up, markets assement update schedule, procurement schedule and coordination with Finance.</t>
  </si>
  <si>
    <t>P0209</t>
  </si>
  <si>
    <t xml:space="preserve">02.09 Markets assessment of services or works </t>
  </si>
  <si>
    <t>The process associated with assessing available supply sources for services and works in one or more markets, including among others but not exclusively, supplier information, framework agreements and negociated price list.</t>
  </si>
  <si>
    <t>P0210</t>
  </si>
  <si>
    <t>02.10 Procurement method selection</t>
  </si>
  <si>
    <t>The process associated with selecting and conducting the appropriate procurement method in line with procurement threshold for services and works, including among others but not exclusively,  direct purchase, one quote, waivers, request for quotations, tender process and Comparative Bid Analysis.</t>
  </si>
  <si>
    <t>P0211</t>
  </si>
  <si>
    <t xml:space="preserve">02.11 Procurement derogation validation </t>
  </si>
  <si>
    <t xml:space="preserve">The process associated with The process associated with validation and recording a procurement derogation process for services and works, including among others but not exclusively, proof of supplier monopoly, justification of lead time urgency, headquarter electronic validation, and local regulations derogation. </t>
  </si>
  <si>
    <t>P0212</t>
  </si>
  <si>
    <t>02.12 Purchase Order management for services or works</t>
  </si>
  <si>
    <t>The process associated with receiving, creating, validating and issuing a purchase order for services and works, including among others but not exclusively, follow-up with suppliers, and the closing of the PO upon confirmation of service delivered.</t>
  </si>
  <si>
    <t>P0213</t>
  </si>
  <si>
    <t xml:space="preserve">02.13 Confirmation of service delivered </t>
  </si>
  <si>
    <t>The process associated with the electronic recording of a completed service (in opposition of goods or kits, where warehouse reception is linked to the PO update).</t>
  </si>
  <si>
    <t>P0214</t>
  </si>
  <si>
    <t>02.14 Invoice matching and payment</t>
  </si>
  <si>
    <t xml:space="preserve">The process associated with processing and validating and invoice for services and works, including among others but not exclusively, payment proceeding, PO closure and invoice closure. </t>
  </si>
  <si>
    <t>P0215</t>
  </si>
  <si>
    <t>02.15 Donation (Request for donation of service or works)</t>
  </si>
  <si>
    <t xml:space="preserve">The process associated with requesting a donation of services or works (executed for e.g. pro-bono) within the organization or to an external organization as a procurement method, including among others but not exclusively, identification of externation party and contract validation. </t>
  </si>
  <si>
    <t>P0300</t>
  </si>
  <si>
    <t>03 Warehousing</t>
  </si>
  <si>
    <t>The processes associated with storing and managing the inventory of goods or kits.</t>
  </si>
  <si>
    <t>P0301</t>
  </si>
  <si>
    <t>03.01 Warehousing planning</t>
  </si>
  <si>
    <t>The process associated with tactical management of warehousing activities, including among others but not exclusively, replenishement policies, threshold monitoring, warehouse data quality, physical storage space maintenance and monitoring, and local warehouse guideline establishement.</t>
  </si>
  <si>
    <t>P0302</t>
  </si>
  <si>
    <t>03.02 Reception of goods or kits</t>
  </si>
  <si>
    <t xml:space="preserve">The process associated with the physical and electronic reception of goods and kits, including among others but not exclusively, delivery and materials verifications, quality assurance, rejection of falty goods, storage of the goods and stock cards update. </t>
  </si>
  <si>
    <t>P0303</t>
  </si>
  <si>
    <t xml:space="preserve">03.03 Reception for direct delivery </t>
  </si>
  <si>
    <t xml:space="preserve">The process associated with the physical and electronic reception of goods intended for immidiate transfer, including among others but not exclusively, delivery and materials verifications, quality assurance, rejection of falty goods and handover for delivery. </t>
  </si>
  <si>
    <t>P0304</t>
  </si>
  <si>
    <t xml:space="preserve">03.04 Reconditionning </t>
  </si>
  <si>
    <t xml:space="preserve">The process associated with validating, recording and conducting the change of packaging of goods, storage of the reconditionned goods and stock cards update. </t>
  </si>
  <si>
    <t>P0305</t>
  </si>
  <si>
    <t>03.05 Assembling kits</t>
  </si>
  <si>
    <t xml:space="preserve">The process associated with physically and electronically assembling a kit from its components, including among others but not exclusively, receiving the goods destined to be assembled as a kit, establishing the kit assembly plan, physical assembling of the kit, registering and storing the kit wih components details, updating stock cards. </t>
  </si>
  <si>
    <t>P0306</t>
  </si>
  <si>
    <t>03.06 Disassembling kits</t>
  </si>
  <si>
    <t xml:space="preserve">The process associated with physically and electronically disassembling a kit into its components, including among others but not exclusively, the validation of the disassembling order, the review of the components details, the registration of the components, disposal of components, storage of components and update of stock cards. </t>
  </si>
  <si>
    <t>P0307</t>
  </si>
  <si>
    <t>03.07 Stock transfer</t>
  </si>
  <si>
    <t xml:space="preserve">The process associated with transfering goods within the warehouse or the NGO, including among others but not exclusively, the validation of the transfer, update of financial or project codification, physical transfer, and replenishement if needed. </t>
  </si>
  <si>
    <t>P0308</t>
  </si>
  <si>
    <t>03.08 Outgoing goods or kits</t>
  </si>
  <si>
    <t xml:space="preserve">The process associated with completing an order, including among others but not exclusively, order reception, order validation, pick, pack, ship, issuing packing list, recording goods out, updating stock cards and issuing shipping documents. </t>
  </si>
  <si>
    <t>P0309</t>
  </si>
  <si>
    <t>03.09 Stock count</t>
  </si>
  <si>
    <t xml:space="preserve">The process associated with stock reconciliation between physical count and electronic count, including among others but not exclusively, the physical and electronic preparation of the stock count, performing the physical count, recording counts and recounts, analyzing discrepancies, raising discrepancies report and updating stock cards. </t>
  </si>
  <si>
    <t>P0310</t>
  </si>
  <si>
    <t xml:space="preserve">03.10 Kits monitoring </t>
  </si>
  <si>
    <t xml:space="preserve">The process associated with managing the kits and its components in terms of maintenance and expirery, including among others but not exclusively, disposal and replenishement of expired components, and registration and maintenance of assets included in the kit. </t>
  </si>
  <si>
    <t>P0311</t>
  </si>
  <si>
    <t>03.11 Stock disposal</t>
  </si>
  <si>
    <t xml:space="preserve">The process associated with the disposal of damaged or expired goods, including among others but not exclusively, the validation of disposal, quarantining of the goods, registration of official disposal authorization, disposal plan and recording of disposal. </t>
  </si>
  <si>
    <t>P0400</t>
  </si>
  <si>
    <t>The processes associated with managing fleet, carriers and LSPs, selecting modes of transportation and routes, as well as placing/loading goods.</t>
  </si>
  <si>
    <t>P0401</t>
  </si>
  <si>
    <t>The process associated with tactical management of transport activities, including among others but not exclusively, carriers and 3PL contract management, cargo consolidation, road security vigilance and local transport guideline establishement.</t>
  </si>
  <si>
    <t>P0402</t>
  </si>
  <si>
    <t xml:space="preserve">The process associated with managing inboud transport of goods, including among others but not exclusively, selection of transport mode, route and incoterms, import custom procedure, green light to supplier, transport monitoring, physical transportation to warehouse and off-loading of goods. </t>
  </si>
  <si>
    <t>P0403</t>
  </si>
  <si>
    <t xml:space="preserve">The process associated with managing outbound transport of goods, including among others but not exclusively, receiving packing list from warehouse, selection of transport mode, route and incoterms, transport document establishement and validation, export custom procedure, cargo expedition, transport follow-up and closing order request. </t>
  </si>
  <si>
    <t>P0404</t>
  </si>
  <si>
    <t xml:space="preserve">The process associated with managing the transport of people in-country, including among others but not exclusively, selection of transport mode and route, security and safety measures, transport follow-up and human-resouces/admin formalities. </t>
  </si>
  <si>
    <t>P0500</t>
  </si>
  <si>
    <t xml:space="preserve">05 Distribution Donation Loan </t>
  </si>
  <si>
    <t>The processes associated with performing order management and order fulfillment activities, donations and loans.</t>
  </si>
  <si>
    <t>P0501</t>
  </si>
  <si>
    <t>05.01 Plan delivery distribution</t>
  </si>
  <si>
    <t xml:space="preserve">The process associated with planning the release of goods at the distribution point(s), including among others but not exclusively, selection of distribution method, distribution schedule, coordination with warehouse and transport, defining methods for recording of distribution, and distribution compliance recording. </t>
  </si>
  <si>
    <t>P0502</t>
  </si>
  <si>
    <t xml:space="preserve">05.02 Outsourced distribution </t>
  </si>
  <si>
    <t xml:space="preserve">The process associated with releasing goods to the distribution point(s) through a third party, including among others but not exclusively, contracting the third party, physical and electronic handover of the goods, tracking completion of delivery, confirming completion of contract and proceding with payment to the third party. </t>
  </si>
  <si>
    <t>P0503</t>
  </si>
  <si>
    <t>05.03 External distribution</t>
  </si>
  <si>
    <t xml:space="preserve">The process associated with releasing goods to the distribution point(s) without intermediaries, including among others but not exclusively, validation order with warehouse, coordination of transport, goods reception at distribution site, delivery and material verification, quality insurance at distribution site and back order follow-up. </t>
  </si>
  <si>
    <t>P0504</t>
  </si>
  <si>
    <t xml:space="preserve">05.04 Internal distribution </t>
  </si>
  <si>
    <t>The process associated with releasing goods for internal consumption by the organization (e.g. staff pharmacy replenishement), including among others but not exclusively, order validation with warehouse, coordination of transport and recording of material usage.</t>
  </si>
  <si>
    <t>P0505</t>
  </si>
  <si>
    <t>05.05 Donations (outbound)</t>
  </si>
  <si>
    <t xml:space="preserve">The process associated with releasing goods upon a donation request, including among others but not exclusively, creating and validating the donation request, generation of donation certificate, coordination with warehousing and transport, and closing the donation. </t>
  </si>
  <si>
    <t>P0506</t>
  </si>
  <si>
    <t>05.06 Loans (outbound)</t>
  </si>
  <si>
    <t xml:space="preserve">The process associated with responding to a loan request, including among others but not exclusively, creating and validating the loan request, generation of loan certificate, coordination with warehousing and transport, follow-up on loan return and closing the loan once goods returned. </t>
  </si>
  <si>
    <t>P0507</t>
  </si>
  <si>
    <t>05.07 Aid diversion recording</t>
  </si>
  <si>
    <t xml:space="preserve">The process associated with recording corformity verification for distribution in line with aid diversion avoidance policies, including among others but not exclusively, delivery and material verification, quality assurance, distribution site conformity, return and losses recording. </t>
  </si>
  <si>
    <t>P0600</t>
  </si>
  <si>
    <t>06 Return Loan Closure</t>
  </si>
  <si>
    <t>The processes associated with moving goods back from a customer through the supply chain to address defects in product, ordering, or to perform upkeep activities.</t>
  </si>
  <si>
    <t>P0601</t>
  </si>
  <si>
    <t>06.01 Return to supplier</t>
  </si>
  <si>
    <t xml:space="preserve">The process associated with returning damaged, excess, erroneous or non-compliant items to the supplier, including among others but not exclusively, creating and validating the return, physical and electronic return, return follow-up, documentation validation and closing the return. </t>
  </si>
  <si>
    <t>P0602</t>
  </si>
  <si>
    <t>06.02 Return received loan to owner</t>
  </si>
  <si>
    <t xml:space="preserve">The process associated with returning a received loan to the goods or asset owner, including among others but not exclusively, return validation, coordination with warehouse and transport, physical and electronic return, loan documentation update, loan closure. </t>
  </si>
  <si>
    <t>P0603</t>
  </si>
  <si>
    <t>06.03 Delivery return from distribution</t>
  </si>
  <si>
    <t xml:space="preserve">The process associated with organizing the return of damaged, excess, erroneous or non-compliant items from the distribution, including among others but not exclusively,  internal return documentation creation, coordination with warehouse and transport, delivery return recording. </t>
  </si>
  <si>
    <t>P0604</t>
  </si>
  <si>
    <t>06.04 Loan return reception</t>
  </si>
  <si>
    <t xml:space="preserve">The process associated with receving back in stock or in use loaned goods or assets, including among others but not exclusively, return validation, loan documentation closure, coordination with warehouse or asset management. </t>
  </si>
  <si>
    <t>P0605</t>
  </si>
  <si>
    <t>06.05 Closure</t>
  </si>
  <si>
    <t xml:space="preserve">The process associated with the closure of an activity and the re-allocation and transfer of goods, including among others but not exclusively, closure planning,  return validation, coordination with warehouse and transport. </t>
  </si>
  <si>
    <t>P0700</t>
  </si>
  <si>
    <t>07 Assets</t>
  </si>
  <si>
    <r>
      <t xml:space="preserve">The processes associated with procuring, allocating, mantaining and monitoring assets required to operate the supply chain </t>
    </r>
    <r>
      <rPr>
        <i/>
        <sz val="10"/>
        <color theme="1"/>
        <rFont val="Arial"/>
        <family val="2"/>
      </rPr>
      <t>(assets include cars and fleet)</t>
    </r>
    <r>
      <rPr>
        <sz val="10"/>
        <color theme="1"/>
        <rFont val="Arial"/>
        <family val="2"/>
      </rPr>
      <t>.</t>
    </r>
  </si>
  <si>
    <t>P0701</t>
  </si>
  <si>
    <t xml:space="preserve">07.01 Asset Management planning </t>
  </si>
  <si>
    <t xml:space="preserve">The process associated with planning the management, procurement, maintenance and disposals of assets, including among others but not exclusively, asset procurement guidelines, schedules and financial process, asset maintenance, overhaul policies and scheduling, as well as assets disposal policies and scheduling. </t>
  </si>
  <si>
    <t>P0702</t>
  </si>
  <si>
    <t>07.02 Asset reception and registration</t>
  </si>
  <si>
    <t>The process associated with receiving and registering assets at a location, including among others but not exclusively, order retrieval, reception notice, donation certificate registration, and registration records.</t>
  </si>
  <si>
    <t>P0703</t>
  </si>
  <si>
    <t xml:space="preserve">07.03 Asset assignement </t>
  </si>
  <si>
    <t xml:space="preserve">The process associated with allocating assets to a location, budget code and/or owner physically and electronically, including among others but not exclusively, registration authorization, asset register update, asset allocation update. </t>
  </si>
  <si>
    <t>P0704</t>
  </si>
  <si>
    <t>07.04 Asset follow-up and maintenance</t>
  </si>
  <si>
    <t xml:space="preserve">The process associated with the maintenance and overhaul of assets in use and/or in stock, including among others but not exclusively, asset tracking and recording, asset periodical reconciliation, maintenance, repair and overhaul scheduling, recording and follow-up. </t>
  </si>
  <si>
    <t>P0705</t>
  </si>
  <si>
    <t>07.05 Asset transfer</t>
  </si>
  <si>
    <t xml:space="preserve">The process associated with the change of location or assignement of assets,  including among others but not exclusively, coordination with asset follow-up, transport and warehousing, waybill creation, asset tracking tool update. </t>
  </si>
  <si>
    <t>P0706</t>
  </si>
  <si>
    <t>07.06 Asset loan</t>
  </si>
  <si>
    <t xml:space="preserve">The process associated with loaning an asset within the origanization or to an external partner, the returned of the asset beign contractually linked by a loan certicficate;  including among others but not exclusively, loan certificate creation, validation and registration, update of asset tracking tool, update of the maintenance, repair and overhaul tool, coordination with transport, and production of a loan certificate. </t>
  </si>
  <si>
    <t>P0707</t>
  </si>
  <si>
    <t>07.07 Asset loan return</t>
  </si>
  <si>
    <t xml:space="preserve">The process associated with the return of a loaned asset, including among others but not exclusively, loan return validation, coordination with transport, update of the asset tracking tool, update of the maintenance, repair and overhaul tool, the closure of the loan. </t>
  </si>
  <si>
    <t>P0708</t>
  </si>
  <si>
    <t>07.08 Asset donation</t>
  </si>
  <si>
    <t>The process associated with releasing an asset for donation, to another location within the organization or to a third party, including among others but not exclusively, donation validation, donation certificate creation, coordination with transport, update of the asset tracking tool, update of the maintenance, repair and overhaul tool, closure of the donation.</t>
  </si>
  <si>
    <t>P0709</t>
  </si>
  <si>
    <t>07.09 Asset disposal or auction</t>
  </si>
  <si>
    <t>The process associated with disposing or auctionning assets that are out of the asset management plan, including among others but not exclusively, disposal plan creation, asset disposal authorization, authority authorization, update of the asset tracking tool, update of the maintenance, repair and overhaul tool, closure of the disposal.</t>
  </si>
  <si>
    <t>P0710</t>
  </si>
  <si>
    <t>07.10 Return/Closure</t>
  </si>
  <si>
    <t xml:space="preserve">The process associated with return assets including return from closure of an activity and the re-assignement and transfer of assets including among others but not exclusively, closure planning, asset return validation, update of the asset tracking tool, update of the maintenance, repair and overhaul tool, coordination with warehouse and transport. </t>
  </si>
  <si>
    <t>P0800</t>
  </si>
  <si>
    <t xml:space="preserve">08 Support </t>
  </si>
  <si>
    <t>The processes associated with establishing, maintaining and monitoring support resources.</t>
  </si>
  <si>
    <t>P0801</t>
  </si>
  <si>
    <t>08.01 Manage sector requirement</t>
  </si>
  <si>
    <t xml:space="preserve">The process associated with managing the humanitarian sector requirements while managing the supply chain to enable that needs are met through the supply chain, including among others but not exclusively transparency requirements, accountability requirements, ethical requirements and sustainability requirements. </t>
  </si>
  <si>
    <t>P0802</t>
  </si>
  <si>
    <t xml:space="preserve">08.02 Perfomance Management </t>
  </si>
  <si>
    <t xml:space="preserve">The process associated with monitoring supply chain performance to enable that needs are met through the supply chain, including among others but not exclusively, KPI definition, production and follow-up, and corrective measures implementation. </t>
  </si>
  <si>
    <t>P0803</t>
  </si>
  <si>
    <t xml:space="preserve">08.03 Data Management </t>
  </si>
  <si>
    <t>The process associated with data management to enable that needs are met through the supply chain, including among others but not exclusively, data recording policies, data quality management, ERP monitoring, data cleaning .</t>
  </si>
  <si>
    <t>P0804</t>
  </si>
  <si>
    <t xml:space="preserve">08.04 Human Resources Management </t>
  </si>
  <si>
    <t xml:space="preserve">The process associated with managing human resources to enable that needs are met through the supply chain, including among others but not exclusively, training, recrutement and daily workers scheduling. </t>
  </si>
  <si>
    <t>P0805</t>
  </si>
  <si>
    <t xml:space="preserve">08.05 Contract Management </t>
  </si>
  <si>
    <t xml:space="preserve">The process associated with managing contract to enable that needs are met through the supply chain, including among others but not exclusively, legal counsel, suppplier, service provider and lease contract follow-up and electronic recording of contracts. </t>
  </si>
  <si>
    <t>P0806</t>
  </si>
  <si>
    <t>08.06 Regulatory Compliance Management</t>
  </si>
  <si>
    <t>The process associated with the international and local regulatory frameworks follow-up to enable that needs are met through the supply chain, including among others but not exclusively, hiring local consel, guidelines follow-up, customs agreement, MoU follow-up and operational context follow-up.</t>
  </si>
  <si>
    <t>P0807</t>
  </si>
  <si>
    <t xml:space="preserve">08.07 Risk Management </t>
  </si>
  <si>
    <t xml:space="preserve">The process associated with risk management to enable that needs are met through the supply chain, including among others but not exclusively, risk assesment, establishement of avoidance and mitigation measures, contigency planning, and risk matrix follow-up. </t>
  </si>
  <si>
    <t>P0808</t>
  </si>
  <si>
    <t xml:space="preserve">08.08 Finance Alignement Management </t>
  </si>
  <si>
    <t xml:space="preserve">The process associated with the coordination between Finance and Supply Chain to enable that needs are met through the supply chain, including among others but not exclusively, order-inoice reconciliation, budget alignement, expenditure authorization guidelines and budget forecasting activities. </t>
  </si>
  <si>
    <t>P0809</t>
  </si>
  <si>
    <t xml:space="preserve">08.09 Technical Logistic Process </t>
  </si>
  <si>
    <t xml:space="preserve">The process associated with the coordination between Supply Chain and Technical Logistic Processes such as Construction, Electrical, Water and Sanitization, to enable that needs are met through the supply chain. </t>
  </si>
  <si>
    <t>P0810</t>
  </si>
  <si>
    <t>08.10 Audit</t>
  </si>
  <si>
    <t xml:space="preserve">The process associated with the coordination between Supply Chain and Audit department to enable that needs are met through the supply chain, including among others but not exclusively, archiving policies, orders and invoices physical and electronic registration and filing, and transparency guidelines. </t>
  </si>
  <si>
    <t>P0900</t>
  </si>
  <si>
    <t>09 Reporting</t>
  </si>
  <si>
    <t>The processes associated with querying sources to capture data needed to inform internal and external stakeholders and support decision making.</t>
  </si>
  <si>
    <t>P0901</t>
  </si>
  <si>
    <t xml:space="preserve">09.01 Reporting - Planning </t>
  </si>
  <si>
    <t xml:space="preserve">The process associated with producing the consolidated data displaying of planning activities, for internal or external purposes, including among others but not exclusively, goods, services and works needs assement, order and procurement planning, financial planning and upcoming schedules. </t>
  </si>
  <si>
    <t>P0902</t>
  </si>
  <si>
    <t xml:space="preserve">09.02 Reporting - Procurement </t>
  </si>
  <si>
    <t xml:space="preserve">The process associated with producing the consolidated data displaying of procurement activities for goods, services and works, for internal or external purposes, including among others but not exclusively, supply sources, suppliers and contract management, expenses and payments, and markets assessments results. </t>
  </si>
  <si>
    <t>P0903</t>
  </si>
  <si>
    <t xml:space="preserve">09.03 Reporting - Warehousing </t>
  </si>
  <si>
    <t xml:space="preserve">The process associated with producing the consolidated data displaying of warehousing activities, for internal or external purposes, including among others but not exclusively, stock monitoring, kits monitoring, stock level and turn-over, discrepancies, goods release and return, expiry and losses, and stock valuation. </t>
  </si>
  <si>
    <t>P0904</t>
  </si>
  <si>
    <t xml:space="preserve">09.04 Reporting - Assets </t>
  </si>
  <si>
    <t xml:space="preserve">The process associated with producing the consolidated data displaying of asset management activities, for internal or external purposes, including among others but not exclusively, assets management plan, assets allocation, assets valuation, maintenance follow-up, assets donations, loans and disposal report. </t>
  </si>
  <si>
    <t>P1000</t>
  </si>
  <si>
    <t>10 Donor follow-up</t>
  </si>
  <si>
    <t>The processes associated with the management of donors funding: associating each good or service with a specific source of funding through the entire supply chain.</t>
  </si>
  <si>
    <t>P1001</t>
  </si>
  <si>
    <t>10.01 Donor Funding Compliance</t>
  </si>
  <si>
    <t xml:space="preserve">The process associated with registering donor funding compliance data in the system and linking those data to other elements activities along the supply chain and the organization's locations, goods, works, services, assets, purchase, and distribution. </t>
  </si>
  <si>
    <t>P1002</t>
  </si>
  <si>
    <t xml:space="preserve">10.02 Donor Funding - Procurement Tracking </t>
  </si>
  <si>
    <t xml:space="preserve">The process associated with linking donor funding data with procurement activities along the supply chain and the organization's locations, including payments, invoices, goods, services, works and assets. </t>
  </si>
  <si>
    <t>P1003</t>
  </si>
  <si>
    <t xml:space="preserve">10.03 Donor Funding - Warehousing Tracking </t>
  </si>
  <si>
    <t xml:space="preserve">The process associated with linking donor funding data with warehousing activities along the supply chain and the organization's locations, including  goods' physical location, goods' electronic registration, reception, dispatch and shipping documents. </t>
  </si>
  <si>
    <t>P1004</t>
  </si>
  <si>
    <t xml:space="preserve">10.04 Donor Funding - Distribution Tracking </t>
  </si>
  <si>
    <t xml:space="preserve">The process associated with linking donor funding data with distribution activities along the supply chain and the organization's locations, including goods, services, works and assets time, place, methods and cost of distribution, as well as distribution return and compliance recording.  </t>
  </si>
  <si>
    <t>P1005</t>
  </si>
  <si>
    <t>10.05 Donor Reporting</t>
  </si>
  <si>
    <t xml:space="preserve">The process associated with producing the consolidated data displaying the use of donor funding through the supply chain and the organization's locations, including the planning, procurement, warehousing, transport and distribution of goods, services, works and assets linked to each individual source of funding. </t>
  </si>
  <si>
    <t>P1006</t>
  </si>
  <si>
    <t xml:space="preserve">10.06 Consortium Funding - Procurement Tracking </t>
  </si>
  <si>
    <t>The process associated with linking consortium funding data with procurement activities across the multiple organizations involved, including mutualized payments, invoices, goods, services, works and assets.</t>
  </si>
  <si>
    <t>P1007</t>
  </si>
  <si>
    <t xml:space="preserve">10.07 Consortium Funding - Distribution to Beneficiaries Tracking </t>
  </si>
  <si>
    <t xml:space="preserve">The process associated with linking consortium funding data with warehousing activities accross the multiple organizations involved, including mutualized physical storage of goods, registration, reception, dispatch and shipping documents. </t>
  </si>
  <si>
    <t>P1008</t>
  </si>
  <si>
    <t xml:space="preserve">10.08 Consortium Funding - Distribution to Partners Tracking </t>
  </si>
  <si>
    <t>The process associated with linking consortium funding data with distribution activities across the multiple organizations, including distrubutions costs, transports, returns for goods and/or services, works and assets.</t>
  </si>
  <si>
    <t>P1009</t>
  </si>
  <si>
    <t xml:space="preserve">10.09 Consortium Reporting </t>
  </si>
  <si>
    <t>P1010</t>
  </si>
  <si>
    <t xml:space="preserve">10.10 Donor Funding - Aid Diversion avoidance and reporting </t>
  </si>
  <si>
    <t xml:space="preserve">The process associated with linking donor funding with corformity verification records for distribution in line with aid diversion avoidance policies, including among others but not exclusively, delivery and material verification, quality assurance, distribution site conformity, return and losses recording. </t>
  </si>
  <si>
    <t>Mapping Between Processes and Data</t>
  </si>
  <si>
    <t>M ID</t>
  </si>
  <si>
    <t>Process ID</t>
  </si>
  <si>
    <t>CALC: PL2 Process Category/ Variant</t>
  </si>
  <si>
    <t>Data ID</t>
  </si>
  <si>
    <t>CALC: DL1 Data Entity Group</t>
  </si>
  <si>
    <t>M00001</t>
  </si>
  <si>
    <t>D0010000</t>
  </si>
  <si>
    <t>M00002</t>
  </si>
  <si>
    <t>M00003</t>
  </si>
  <si>
    <t>D0020000</t>
  </si>
  <si>
    <t>M00004</t>
  </si>
  <si>
    <t>D0030000</t>
  </si>
  <si>
    <t>M00005</t>
  </si>
  <si>
    <t>D0040000</t>
  </si>
  <si>
    <t>M00006</t>
  </si>
  <si>
    <t>M00007</t>
  </si>
  <si>
    <t>M00008</t>
  </si>
  <si>
    <t>D0050000</t>
  </si>
  <si>
    <t>M00009</t>
  </si>
  <si>
    <t>D0060000</t>
  </si>
  <si>
    <t>M00010</t>
  </si>
  <si>
    <t>D0070000</t>
  </si>
  <si>
    <t>M00011</t>
  </si>
  <si>
    <t>D0080000</t>
  </si>
  <si>
    <t>M00012</t>
  </si>
  <si>
    <t>M00013</t>
  </si>
  <si>
    <t>M00014</t>
  </si>
  <si>
    <t>D0180000</t>
  </si>
  <si>
    <t>M00015</t>
  </si>
  <si>
    <t>D0390000</t>
  </si>
  <si>
    <t>M00016</t>
  </si>
  <si>
    <t>D0150000</t>
  </si>
  <si>
    <t>M00017</t>
  </si>
  <si>
    <t>M00018</t>
  </si>
  <si>
    <t>M00019</t>
  </si>
  <si>
    <t>M00020</t>
  </si>
  <si>
    <t>D0170000</t>
  </si>
  <si>
    <t>M00021</t>
  </si>
  <si>
    <t>M00022</t>
  </si>
  <si>
    <t>M00023</t>
  </si>
  <si>
    <t>M00024</t>
  </si>
  <si>
    <t>M00025</t>
  </si>
  <si>
    <t>D0090000</t>
  </si>
  <si>
    <t>M00026</t>
  </si>
  <si>
    <t>D0100000</t>
  </si>
  <si>
    <t>M00027</t>
  </si>
  <si>
    <t>D0110000</t>
  </si>
  <si>
    <t>M00028</t>
  </si>
  <si>
    <t>D0120000</t>
  </si>
  <si>
    <t>M00029</t>
  </si>
  <si>
    <t>D0160000</t>
  </si>
  <si>
    <t>M00030</t>
  </si>
  <si>
    <t>M00031</t>
  </si>
  <si>
    <t>M00032</t>
  </si>
  <si>
    <t>D0130000</t>
  </si>
  <si>
    <t>M00033</t>
  </si>
  <si>
    <t>M00034</t>
  </si>
  <si>
    <t>D0240000</t>
  </si>
  <si>
    <t>M00035</t>
  </si>
  <si>
    <t>D0140000</t>
  </si>
  <si>
    <t>M00036</t>
  </si>
  <si>
    <t>D0190000</t>
  </si>
  <si>
    <t>M00037</t>
  </si>
  <si>
    <t>M00038</t>
  </si>
  <si>
    <t>M00039</t>
  </si>
  <si>
    <t>M00040</t>
  </si>
  <si>
    <t>M00041</t>
  </si>
  <si>
    <t>M00042</t>
  </si>
  <si>
    <t>M00043</t>
  </si>
  <si>
    <t>M00044</t>
  </si>
  <si>
    <t>M00045</t>
  </si>
  <si>
    <t>M00046</t>
  </si>
  <si>
    <t>M00047</t>
  </si>
  <si>
    <t>M00048</t>
  </si>
  <si>
    <t>M00049</t>
  </si>
  <si>
    <t>M00050</t>
  </si>
  <si>
    <t>M00051</t>
  </si>
  <si>
    <t>M00052</t>
  </si>
  <si>
    <t>M00053</t>
  </si>
  <si>
    <t>M00054</t>
  </si>
  <si>
    <t>M00055</t>
  </si>
  <si>
    <t>M00056</t>
  </si>
  <si>
    <t>M00057</t>
  </si>
  <si>
    <t>M00058</t>
  </si>
  <si>
    <t>M00059</t>
  </si>
  <si>
    <t>M00060</t>
  </si>
  <si>
    <t>M00061</t>
  </si>
  <si>
    <t>M00062</t>
  </si>
  <si>
    <t>M00063</t>
  </si>
  <si>
    <t>D0200000</t>
  </si>
  <si>
    <t>M00064</t>
  </si>
  <si>
    <t>M00065</t>
  </si>
  <si>
    <t>M00066</t>
  </si>
  <si>
    <t>M00067</t>
  </si>
  <si>
    <t>M00068</t>
  </si>
  <si>
    <t>M00069</t>
  </si>
  <si>
    <t>M00070</t>
  </si>
  <si>
    <t>M00071</t>
  </si>
  <si>
    <t>M00072</t>
  </si>
  <si>
    <t>M00073</t>
  </si>
  <si>
    <t>M00074</t>
  </si>
  <si>
    <t>D0210000</t>
  </si>
  <si>
    <t>M00075</t>
  </si>
  <si>
    <t>D0220000</t>
  </si>
  <si>
    <t>M00076</t>
  </si>
  <si>
    <t>M00077</t>
  </si>
  <si>
    <t>M00078</t>
  </si>
  <si>
    <t>M00079</t>
  </si>
  <si>
    <t>M00080</t>
  </si>
  <si>
    <t>D0270000</t>
  </si>
  <si>
    <t>M00081</t>
  </si>
  <si>
    <t>D0400000</t>
  </si>
  <si>
    <t>M00082</t>
  </si>
  <si>
    <t>M00083</t>
  </si>
  <si>
    <t>M00084</t>
  </si>
  <si>
    <t>D0410000</t>
  </si>
  <si>
    <t>M00085</t>
  </si>
  <si>
    <t>D0250000</t>
  </si>
  <si>
    <t>M00086</t>
  </si>
  <si>
    <t>M00087</t>
  </si>
  <si>
    <t>M00088</t>
  </si>
  <si>
    <t>M00089</t>
  </si>
  <si>
    <t>D0480000</t>
  </si>
  <si>
    <t>M00090</t>
  </si>
  <si>
    <t>D0370000</t>
  </si>
  <si>
    <t>M00091</t>
  </si>
  <si>
    <t>D0230000</t>
  </si>
  <si>
    <t>M00092</t>
  </si>
  <si>
    <t>M00093</t>
  </si>
  <si>
    <t>D0260000</t>
  </si>
  <si>
    <t>M00094</t>
  </si>
  <si>
    <t>M00095</t>
  </si>
  <si>
    <t>D0280000</t>
  </si>
  <si>
    <t>M00096</t>
  </si>
  <si>
    <t>D0290000</t>
  </si>
  <si>
    <t>M00097</t>
  </si>
  <si>
    <t>D0300000</t>
  </si>
  <si>
    <t>M00098</t>
  </si>
  <si>
    <t>D0310000</t>
  </si>
  <si>
    <t>M00099</t>
  </si>
  <si>
    <t>D0320000</t>
  </si>
  <si>
    <t>M00100</t>
  </si>
  <si>
    <t>D0330000</t>
  </si>
  <si>
    <t>M00101</t>
  </si>
  <si>
    <t>D0340000</t>
  </si>
  <si>
    <t>M00102</t>
  </si>
  <si>
    <t>D0350000</t>
  </si>
  <si>
    <t>M00103</t>
  </si>
  <si>
    <t>D0360000</t>
  </si>
  <si>
    <t>M00104</t>
  </si>
  <si>
    <t>M00105</t>
  </si>
  <si>
    <t>D0380000</t>
  </si>
  <si>
    <t>M00106</t>
  </si>
  <si>
    <t>M00107</t>
  </si>
  <si>
    <t>M00108</t>
  </si>
  <si>
    <t>M00109</t>
  </si>
  <si>
    <t>M00110</t>
  </si>
  <si>
    <t>M00111</t>
  </si>
  <si>
    <t>M00112</t>
  </si>
  <si>
    <t>M00113</t>
  </si>
  <si>
    <t>D0420000</t>
  </si>
  <si>
    <t>M00114</t>
  </si>
  <si>
    <t>M00115</t>
  </si>
  <si>
    <t>M00116</t>
  </si>
  <si>
    <t>M00117</t>
  </si>
  <si>
    <t>D0430000</t>
  </si>
  <si>
    <t>M00118</t>
  </si>
  <si>
    <t>D0440000</t>
  </si>
  <si>
    <t>M00119</t>
  </si>
  <si>
    <t>D0450000</t>
  </si>
  <si>
    <t>M00120</t>
  </si>
  <si>
    <t>D0460000</t>
  </si>
  <si>
    <t>M00121</t>
  </si>
  <si>
    <t>D0470000</t>
  </si>
  <si>
    <t>M00122</t>
  </si>
  <si>
    <t>M00123</t>
  </si>
  <si>
    <t>M00124</t>
  </si>
  <si>
    <t>M00125</t>
  </si>
  <si>
    <t>M00126</t>
  </si>
  <si>
    <t>M00127</t>
  </si>
  <si>
    <t>D0490000</t>
  </si>
  <si>
    <t>M00128</t>
  </si>
  <si>
    <t>D0500000</t>
  </si>
  <si>
    <t>M00129</t>
  </si>
  <si>
    <t>D0510000</t>
  </si>
  <si>
    <t>M00130</t>
  </si>
  <si>
    <t>M00131</t>
  </si>
  <si>
    <t>M00132</t>
  </si>
  <si>
    <t>D0520000</t>
  </si>
  <si>
    <t>M00133</t>
  </si>
  <si>
    <t>M00134</t>
  </si>
  <si>
    <t>M00135</t>
  </si>
  <si>
    <t>D0530000</t>
  </si>
  <si>
    <t>M00136</t>
  </si>
  <si>
    <t>D0540000</t>
  </si>
  <si>
    <t>M00137</t>
  </si>
  <si>
    <t>D0550000</t>
  </si>
  <si>
    <t>M00138</t>
  </si>
  <si>
    <t>M00139</t>
  </si>
  <si>
    <t>M00140</t>
  </si>
  <si>
    <t>D0560000</t>
  </si>
  <si>
    <t>M00141</t>
  </si>
  <si>
    <t>D0570000</t>
  </si>
  <si>
    <t>M00142</t>
  </si>
  <si>
    <t>D0580000</t>
  </si>
  <si>
    <t>M00143</t>
  </si>
  <si>
    <t>M00144</t>
  </si>
  <si>
    <t>M00145</t>
  </si>
  <si>
    <t>M00146</t>
  </si>
  <si>
    <t>M00147</t>
  </si>
  <si>
    <t>M00148</t>
  </si>
  <si>
    <t>M00149</t>
  </si>
  <si>
    <t>D0590000</t>
  </si>
  <si>
    <t>M00150</t>
  </si>
  <si>
    <t>D0600000</t>
  </si>
  <si>
    <t>M00151</t>
  </si>
  <si>
    <t>D0610000</t>
  </si>
  <si>
    <t>M00152</t>
  </si>
  <si>
    <t>D0620000</t>
  </si>
  <si>
    <t>M00153</t>
  </si>
  <si>
    <t>D0630000</t>
  </si>
  <si>
    <t>M00154</t>
  </si>
  <si>
    <t>D0640000</t>
  </si>
  <si>
    <t>M00155</t>
  </si>
  <si>
    <t>D0650000</t>
  </si>
  <si>
    <t>M00156</t>
  </si>
  <si>
    <t>D0660000</t>
  </si>
  <si>
    <t>M00157</t>
  </si>
  <si>
    <t>D0670000</t>
  </si>
  <si>
    <t>M00158</t>
  </si>
  <si>
    <t>D0680000</t>
  </si>
  <si>
    <t>M00159</t>
  </si>
  <si>
    <t>D0690000</t>
  </si>
  <si>
    <t>M00160</t>
  </si>
  <si>
    <t>D0700000</t>
  </si>
  <si>
    <t>M00161</t>
  </si>
  <si>
    <t>D0710000</t>
  </si>
  <si>
    <t>M00162</t>
  </si>
  <si>
    <t>M00163</t>
  </si>
  <si>
    <t>M00164</t>
  </si>
  <si>
    <t>M00165</t>
  </si>
  <si>
    <t>D0720000</t>
  </si>
  <si>
    <t>M00166</t>
  </si>
  <si>
    <t>D0730000</t>
  </si>
  <si>
    <t>M00167</t>
  </si>
  <si>
    <t>D0740000</t>
  </si>
  <si>
    <t>M00168</t>
  </si>
  <si>
    <t>D0750000</t>
  </si>
  <si>
    <t>M00169</t>
  </si>
  <si>
    <t>M00170</t>
  </si>
  <si>
    <t>M00171</t>
  </si>
  <si>
    <t>M00172</t>
  </si>
  <si>
    <t>M00173</t>
  </si>
  <si>
    <t>M00174</t>
  </si>
  <si>
    <t>M00175</t>
  </si>
  <si>
    <t>M00176</t>
  </si>
  <si>
    <t>D0760000</t>
  </si>
  <si>
    <t>M00177</t>
  </si>
  <si>
    <t>D0770000</t>
  </si>
  <si>
    <t>M00178</t>
  </si>
  <si>
    <t>D0780000</t>
  </si>
  <si>
    <t>M00179</t>
  </si>
  <si>
    <t>D0790000</t>
  </si>
  <si>
    <t>M00180</t>
  </si>
  <si>
    <t>D0800000</t>
  </si>
  <si>
    <t>M00181</t>
  </si>
  <si>
    <t>D0810000</t>
  </si>
  <si>
    <t>M00182</t>
  </si>
  <si>
    <t>M00183</t>
  </si>
  <si>
    <t>M00184</t>
  </si>
  <si>
    <t>M00185</t>
  </si>
  <si>
    <t>M00186</t>
  </si>
  <si>
    <t>M00187</t>
  </si>
  <si>
    <t>M00188</t>
  </si>
  <si>
    <t>M00189</t>
  </si>
  <si>
    <t>M00190</t>
  </si>
  <si>
    <t>D0820000</t>
  </si>
  <si>
    <t>M00191</t>
  </si>
  <si>
    <t>M00192</t>
  </si>
  <si>
    <t>M00193</t>
  </si>
  <si>
    <t>M00194</t>
  </si>
  <si>
    <t xml:space="preserve">Data </t>
  </si>
  <si>
    <t>D ID</t>
  </si>
  <si>
    <t>Item Level</t>
  </si>
  <si>
    <t>DL1 Data Entity Group Name</t>
  </si>
  <si>
    <t>DL2 Data Entity Name</t>
  </si>
  <si>
    <t>DL3 Data Element Name</t>
  </si>
  <si>
    <t>Description</t>
  </si>
  <si>
    <t>CALC: Used in PL2 Process Category/ Variant</t>
  </si>
  <si>
    <t>Program Requirements</t>
  </si>
  <si>
    <t>Input to Logistics Planning Process. Document received from program group that identifies any or all of the material, service, personnel and transportation requirements needed to support a program, along with requested delivery dates</t>
  </si>
  <si>
    <t>D0010100</t>
  </si>
  <si>
    <t>Entity</t>
  </si>
  <si>
    <t>Item Data</t>
  </si>
  <si>
    <t>D0010101</t>
  </si>
  <si>
    <t>Element</t>
  </si>
  <si>
    <t>Item number</t>
  </si>
  <si>
    <t>D0010102</t>
  </si>
  <si>
    <t>Item description</t>
  </si>
  <si>
    <t>D0010200</t>
  </si>
  <si>
    <t>Material Requirements</t>
  </si>
  <si>
    <t>D0010201</t>
  </si>
  <si>
    <t>Quantity</t>
  </si>
  <si>
    <t>D0010202</t>
  </si>
  <si>
    <t>Delivery date</t>
  </si>
  <si>
    <t>D0010300</t>
  </si>
  <si>
    <t>Service Requirements</t>
  </si>
  <si>
    <t>D0010301</t>
  </si>
  <si>
    <t>Service description</t>
  </si>
  <si>
    <t>D0010302</t>
  </si>
  <si>
    <t>Service completion date</t>
  </si>
  <si>
    <t>Procurement Plan</t>
  </si>
  <si>
    <t>Output of Logistics Planning Process, identifies material and services purchases and delivery dates to fulfill program requirements.</t>
  </si>
  <si>
    <t>D0020100</t>
  </si>
  <si>
    <t>D0020101</t>
  </si>
  <si>
    <t>D0020102</t>
  </si>
  <si>
    <t>D0020103</t>
  </si>
  <si>
    <t>Purchasing category</t>
  </si>
  <si>
    <t>D0020200</t>
  </si>
  <si>
    <t>D0020201</t>
  </si>
  <si>
    <t>D0020202</t>
  </si>
  <si>
    <t>D0020300</t>
  </si>
  <si>
    <t>Services Requirements</t>
  </si>
  <si>
    <t>D0020301</t>
  </si>
  <si>
    <t>D0020302</t>
  </si>
  <si>
    <t>Delivery Plan</t>
  </si>
  <si>
    <t>Output of logistics planning process, identifies what will be supplied, quantities and planned dates for materials to arrive at desired location</t>
  </si>
  <si>
    <t>D0030100</t>
  </si>
  <si>
    <t>Item Requirements</t>
  </si>
  <si>
    <t>D0030101</t>
  </si>
  <si>
    <t>D0030102</t>
  </si>
  <si>
    <t>Item name</t>
  </si>
  <si>
    <t>D0030103</t>
  </si>
  <si>
    <t>D0030200</t>
  </si>
  <si>
    <t>Plan Dates</t>
  </si>
  <si>
    <t>D0030201</t>
  </si>
  <si>
    <t>Shipment date</t>
  </si>
  <si>
    <t>D0030202</t>
  </si>
  <si>
    <t>D0030203</t>
  </si>
  <si>
    <t>Field location delivery date</t>
  </si>
  <si>
    <t>D0030300</t>
  </si>
  <si>
    <t>Source Address</t>
  </si>
  <si>
    <t>D0030301</t>
  </si>
  <si>
    <t>Ship from location name</t>
  </si>
  <si>
    <t>Same as Ship From Address in Supplier Master [D0050201]</t>
  </si>
  <si>
    <t>D0030302</t>
  </si>
  <si>
    <t>Address data elements</t>
  </si>
  <si>
    <t>D0030400</t>
  </si>
  <si>
    <t>Destination Address</t>
  </si>
  <si>
    <t>D0030401</t>
  </si>
  <si>
    <t>Ship to location name</t>
  </si>
  <si>
    <t>D0030402</t>
  </si>
  <si>
    <t>Location Master</t>
  </si>
  <si>
    <t>Location master data for key programme sites/facilities/locations</t>
  </si>
  <si>
    <t>D0040100</t>
  </si>
  <si>
    <t>Supplier Warehouse</t>
  </si>
  <si>
    <t>D0040101</t>
  </si>
  <si>
    <t>D0040200</t>
  </si>
  <si>
    <t>Warehouse</t>
  </si>
  <si>
    <t>D0040201</t>
  </si>
  <si>
    <t>Warehouse ID</t>
  </si>
  <si>
    <t>D0040202</t>
  </si>
  <si>
    <t>Warehouse name</t>
  </si>
  <si>
    <t>D0040300</t>
  </si>
  <si>
    <t>Field Location</t>
  </si>
  <si>
    <t>D0040301</t>
  </si>
  <si>
    <t>D0040400</t>
  </si>
  <si>
    <t>Address</t>
  </si>
  <si>
    <t>D0040401</t>
  </si>
  <si>
    <t>Supplier Master</t>
  </si>
  <si>
    <t>Individual supplier-specific master data; such as supplier number, name, ship from and remit to addresses, contact information</t>
  </si>
  <si>
    <t>D0050100</t>
  </si>
  <si>
    <t>D0050101</t>
  </si>
  <si>
    <t>Supplier number</t>
  </si>
  <si>
    <t>D0050102</t>
  </si>
  <si>
    <t>Supplier name</t>
  </si>
  <si>
    <t>D0050103</t>
  </si>
  <si>
    <t>Language</t>
  </si>
  <si>
    <t>D0050104</t>
  </si>
  <si>
    <t>Supplier status</t>
  </si>
  <si>
    <t>Is supplier blocked or on-hold</t>
  </si>
  <si>
    <t>D0050105</t>
  </si>
  <si>
    <t>Hold reason</t>
  </si>
  <si>
    <t>Text description of block/hold status reason</t>
  </si>
  <si>
    <t>D0050200</t>
  </si>
  <si>
    <t>Ship From Address</t>
  </si>
  <si>
    <t>D0050201</t>
  </si>
  <si>
    <t>Address Id</t>
  </si>
  <si>
    <t>System Id for address</t>
  </si>
  <si>
    <t>D0050202</t>
  </si>
  <si>
    <t>Location name</t>
  </si>
  <si>
    <t>Description for the address</t>
  </si>
  <si>
    <t>D0050203</t>
  </si>
  <si>
    <t>Purpose</t>
  </si>
  <si>
    <t>Identifier for address type; such as to be able to identify separate Deliver from and Remit to addresses for a vendor</t>
  </si>
  <si>
    <t>D0050204</t>
  </si>
  <si>
    <t>Country/region</t>
  </si>
  <si>
    <t>D0050205</t>
  </si>
  <si>
    <t>Postal code</t>
  </si>
  <si>
    <t>D0050206</t>
  </si>
  <si>
    <t>Street</t>
  </si>
  <si>
    <t>D0050207</t>
  </si>
  <si>
    <t>City</t>
  </si>
  <si>
    <t>D0050208</t>
  </si>
  <si>
    <t>State/province</t>
  </si>
  <si>
    <t>D0050209</t>
  </si>
  <si>
    <t>District</t>
  </si>
  <si>
    <t>D0050210</t>
  </si>
  <si>
    <t>Latitude</t>
  </si>
  <si>
    <t>D0050211</t>
  </si>
  <si>
    <t>Longitude</t>
  </si>
  <si>
    <t>D0050212</t>
  </si>
  <si>
    <t>Time zone</t>
  </si>
  <si>
    <t>D0050300</t>
  </si>
  <si>
    <t>Remit To Address</t>
  </si>
  <si>
    <t>D0050301</t>
  </si>
  <si>
    <t>D0050400</t>
  </si>
  <si>
    <t>Contact</t>
  </si>
  <si>
    <t>D0050401</t>
  </si>
  <si>
    <t>Contact name</t>
  </si>
  <si>
    <t>Name or general contact description; for example 'AP Department'</t>
  </si>
  <si>
    <t>D0050402</t>
  </si>
  <si>
    <t>E-mail address</t>
  </si>
  <si>
    <t>D0050403</t>
  </si>
  <si>
    <t>Phone</t>
  </si>
  <si>
    <t>D0050404</t>
  </si>
  <si>
    <t>Mobile phone</t>
  </si>
  <si>
    <t>D0050500</t>
  </si>
  <si>
    <t>Payment</t>
  </si>
  <si>
    <t>D0050501</t>
  </si>
  <si>
    <t>Remit to account</t>
  </si>
  <si>
    <t>Can be needed when purchasing from large organization and required to order from one division/company and remit payment to a corporate parent/different company</t>
  </si>
  <si>
    <t>D0050502</t>
  </si>
  <si>
    <t>Currency</t>
  </si>
  <si>
    <t>D0050503</t>
  </si>
  <si>
    <t>Payment terms</t>
  </si>
  <si>
    <t>D0050600</t>
  </si>
  <si>
    <t>Delivery</t>
  </si>
  <si>
    <t>D0050601</t>
  </si>
  <si>
    <t>Delivery terms</t>
  </si>
  <si>
    <t>D0050602</t>
  </si>
  <si>
    <t>Mode of delivery</t>
  </si>
  <si>
    <t>D0050700</t>
  </si>
  <si>
    <t>Tax</t>
  </si>
  <si>
    <t>D0050701</t>
  </si>
  <si>
    <t>Tax exemption</t>
  </si>
  <si>
    <t>Individual Item-specific master data; such as Item number, name and unit of measure</t>
  </si>
  <si>
    <t>D0060100</t>
  </si>
  <si>
    <t>Item General</t>
  </si>
  <si>
    <t>D0060101</t>
  </si>
  <si>
    <t>D0060102</t>
  </si>
  <si>
    <t>D0060103</t>
  </si>
  <si>
    <t>Item status</t>
  </si>
  <si>
    <t>D0060104</t>
  </si>
  <si>
    <t>Item master barcode</t>
  </si>
  <si>
    <t>Unique barcode number for an item</t>
  </si>
  <si>
    <t>D0060200</t>
  </si>
  <si>
    <t>Item Purchase</t>
  </si>
  <si>
    <t>D0060201</t>
  </si>
  <si>
    <t>Purchase price</t>
  </si>
  <si>
    <t>D0060202</t>
  </si>
  <si>
    <t>Price quantity</t>
  </si>
  <si>
    <t>D0060203</t>
  </si>
  <si>
    <t>Price date</t>
  </si>
  <si>
    <t>D0060204</t>
  </si>
  <si>
    <t>Purchase unit of measure</t>
  </si>
  <si>
    <t>D0060205</t>
  </si>
  <si>
    <t>Approved suppliers</t>
  </si>
  <si>
    <t>D0060300</t>
  </si>
  <si>
    <t>Item Order</t>
  </si>
  <si>
    <t>Order minimums, multiples</t>
  </si>
  <si>
    <t>D0060301</t>
  </si>
  <si>
    <t>Minimum order quantity</t>
  </si>
  <si>
    <t>D0060302</t>
  </si>
  <si>
    <t>Order multiple</t>
  </si>
  <si>
    <t>D0060303</t>
  </si>
  <si>
    <t>Maximum order quantity</t>
  </si>
  <si>
    <t>D0060304</t>
  </si>
  <si>
    <t>Default warehouse</t>
  </si>
  <si>
    <t>D0060400</t>
  </si>
  <si>
    <t>Item Inventory</t>
  </si>
  <si>
    <t>Individual item-specific data, such as; Net weight, Tare weight, Physical dimensions</t>
  </si>
  <si>
    <t>D0060401</t>
  </si>
  <si>
    <t>Inventory unit of measure</t>
  </si>
  <si>
    <t>D0060402</t>
  </si>
  <si>
    <t>Net weight</t>
  </si>
  <si>
    <t>D0060403</t>
  </si>
  <si>
    <t>Tare weight</t>
  </si>
  <si>
    <t>D0060404</t>
  </si>
  <si>
    <t>Gross weight</t>
  </si>
  <si>
    <t>D0060405</t>
  </si>
  <si>
    <t>Length</t>
  </si>
  <si>
    <t>D0060406</t>
  </si>
  <si>
    <t>Width</t>
  </si>
  <si>
    <t>D0060407</t>
  </si>
  <si>
    <t>Height</t>
  </si>
  <si>
    <t>Currency Exchange Rate Master</t>
  </si>
  <si>
    <t>Currency exchange rate master data for multi-currency transactions</t>
  </si>
  <si>
    <t>D0070100</t>
  </si>
  <si>
    <t>Exchange Rates</t>
  </si>
  <si>
    <t>D0070101</t>
  </si>
  <si>
    <t>From currency</t>
  </si>
  <si>
    <t>D0070102</t>
  </si>
  <si>
    <t>To currency</t>
  </si>
  <si>
    <t>D0070103</t>
  </si>
  <si>
    <t>Start date</t>
  </si>
  <si>
    <t>Begin effective date for exchange rate</t>
  </si>
  <si>
    <t>D0070104</t>
  </si>
  <si>
    <t>Exchange rate</t>
  </si>
  <si>
    <t>Framework Agreement</t>
  </si>
  <si>
    <t>Agreement with a supplier for purchase of specific product or service at agreed upon price with multiple deliveries over a period of time.</t>
  </si>
  <si>
    <t>D0080100</t>
  </si>
  <si>
    <t>Agreement Header</t>
  </si>
  <si>
    <t>D0080101</t>
  </si>
  <si>
    <t>Contract number</t>
  </si>
  <si>
    <t>D0080102</t>
  </si>
  <si>
    <t>D0080103</t>
  </si>
  <si>
    <t>D0080104</t>
  </si>
  <si>
    <t>Effective date</t>
  </si>
  <si>
    <t>D0080105</t>
  </si>
  <si>
    <t>Expiration date</t>
  </si>
  <si>
    <t>D0080106</t>
  </si>
  <si>
    <t>Project ID</t>
  </si>
  <si>
    <t>D0080107</t>
  </si>
  <si>
    <t>D0080108</t>
  </si>
  <si>
    <t>D0080200</t>
  </si>
  <si>
    <t>Agreement Line</t>
  </si>
  <si>
    <t>D0080201</t>
  </si>
  <si>
    <t>D0080202</t>
  </si>
  <si>
    <t>D0080203</t>
  </si>
  <si>
    <t>Unit of measure</t>
  </si>
  <si>
    <t>D0080204</t>
  </si>
  <si>
    <t>Price</t>
  </si>
  <si>
    <t>D0080205</t>
  </si>
  <si>
    <t>Line amount</t>
  </si>
  <si>
    <t>D0080206</t>
  </si>
  <si>
    <t>D0080207</t>
  </si>
  <si>
    <t>D0080208</t>
  </si>
  <si>
    <t>D0080209</t>
  </si>
  <si>
    <t>Quantity remaining</t>
  </si>
  <si>
    <t>D0080210</t>
  </si>
  <si>
    <t>Quantity received</t>
  </si>
  <si>
    <t>Purchase Requisition</t>
  </si>
  <si>
    <t>Internal purchase request document created in system and converted to PO after approval process. Typically there's also a system-based workflow that defines approval rules and routing to meet organizational procurement requirements.May also be called 'Request Order' or 'Requisition'.</t>
  </si>
  <si>
    <t>D0090100</t>
  </si>
  <si>
    <t>Purchase Requisition Header</t>
  </si>
  <si>
    <t>D0090101</t>
  </si>
  <si>
    <t>Purchase requisition number</t>
  </si>
  <si>
    <t>D0090102</t>
  </si>
  <si>
    <t>Status</t>
  </si>
  <si>
    <t>D0090103</t>
  </si>
  <si>
    <t>Requested date</t>
  </si>
  <si>
    <t>D0090104</t>
  </si>
  <si>
    <t>D0090105</t>
  </si>
  <si>
    <t>Requester</t>
  </si>
  <si>
    <t>Person/department requesting the material/service purchase</t>
  </si>
  <si>
    <t>D0090106</t>
  </si>
  <si>
    <t>Preparer</t>
  </si>
  <si>
    <t>Person who entered requisition in system</t>
  </si>
  <si>
    <t>D0090107</t>
  </si>
  <si>
    <t>D0090108</t>
  </si>
  <si>
    <t>Waiver requested</t>
  </si>
  <si>
    <t>Yes/No flag for waiver request</t>
  </si>
  <si>
    <t>D0090200</t>
  </si>
  <si>
    <t>Purchase Requisition Line</t>
  </si>
  <si>
    <t>D0090201</t>
  </si>
  <si>
    <t>D0090202</t>
  </si>
  <si>
    <t>Buying category</t>
  </si>
  <si>
    <t>Some systems can enable one-time purchases through 'category' definitions without an actual item number</t>
  </si>
  <si>
    <t>D0090203</t>
  </si>
  <si>
    <t>D0090204</t>
  </si>
  <si>
    <t>D0090205</t>
  </si>
  <si>
    <t>D0090206</t>
  </si>
  <si>
    <t>D0090207</t>
  </si>
  <si>
    <t>D0090208</t>
  </si>
  <si>
    <t>D0090209</t>
  </si>
  <si>
    <t>D0090210</t>
  </si>
  <si>
    <t>Purchase order number</t>
  </si>
  <si>
    <t>D0090211</t>
  </si>
  <si>
    <t>D0090212</t>
  </si>
  <si>
    <t>Budget ID</t>
  </si>
  <si>
    <t>D0090213</t>
  </si>
  <si>
    <t>Donor contract ID</t>
  </si>
  <si>
    <t>D0090300</t>
  </si>
  <si>
    <t>Ship To Address</t>
  </si>
  <si>
    <t>D0090301</t>
  </si>
  <si>
    <t>D0090400</t>
  </si>
  <si>
    <t>D0090401</t>
  </si>
  <si>
    <t>Requested delivery date</t>
  </si>
  <si>
    <t>Purchase Requisition Workflow</t>
  </si>
  <si>
    <t>System-based workflow that defines the rules for routing and approval of a request before it becomes a purchase order</t>
  </si>
  <si>
    <t>D0100100</t>
  </si>
  <si>
    <t>Workflow Data</t>
  </si>
  <si>
    <t>D0100101</t>
  </si>
  <si>
    <t>Workflow name</t>
  </si>
  <si>
    <t>D0100102</t>
  </si>
  <si>
    <t>Workflow status</t>
  </si>
  <si>
    <t>D0100103</t>
  </si>
  <si>
    <t>Approvers</t>
  </si>
  <si>
    <t>Who can approve based on specific data within the PO</t>
  </si>
  <si>
    <t>D0100104</t>
  </si>
  <si>
    <t>Approval levels</t>
  </si>
  <si>
    <t>Approvals based on PO totals or other fields within the Purchase order</t>
  </si>
  <si>
    <t>D0100105</t>
  </si>
  <si>
    <t>Escalation policies</t>
  </si>
  <si>
    <t>Workflow rules for how to route a request when a user doesn't take timely action</t>
  </si>
  <si>
    <t>D0100106</t>
  </si>
  <si>
    <t>Delegation policies</t>
  </si>
  <si>
    <t>Capability for users to re-assign their approval authority to other users temporarily, such as vacation</t>
  </si>
  <si>
    <t>Purchase Order</t>
  </si>
  <si>
    <t>Document provided to a supplier for purchase of items or services from the supplier</t>
  </si>
  <si>
    <t>D0110100</t>
  </si>
  <si>
    <t>For example; PO #, Supplier #, Supplier name</t>
  </si>
  <si>
    <t>D0110101</t>
  </si>
  <si>
    <t>Purchase Order ID number, generated from number sequence</t>
  </si>
  <si>
    <t>D0110102</t>
  </si>
  <si>
    <t>Supplier ID number, generated from number sequence</t>
  </si>
  <si>
    <t>D0110103</t>
  </si>
  <si>
    <t>Name of the supplier</t>
  </si>
  <si>
    <t>D0110104</t>
  </si>
  <si>
    <t>D0110105</t>
  </si>
  <si>
    <t>Order date</t>
  </si>
  <si>
    <t>D0110106</t>
  </si>
  <si>
    <t>Drop ship flag</t>
  </si>
  <si>
    <t>D0110107</t>
  </si>
  <si>
    <t>D0110108</t>
  </si>
  <si>
    <t>D0110109</t>
  </si>
  <si>
    <t>PO total amount</t>
  </si>
  <si>
    <t>D0110200</t>
  </si>
  <si>
    <t>Ship To Address, Bill To Address and Line-level Ship To Address to ship to multiple locations on same PO</t>
  </si>
  <si>
    <t>D0110201</t>
  </si>
  <si>
    <t>D0110300</t>
  </si>
  <si>
    <t>Bill To Address</t>
  </si>
  <si>
    <t>D0110301</t>
  </si>
  <si>
    <t>D0110400</t>
  </si>
  <si>
    <t>Key delivery information; for example, Transport mode and Delivery terms</t>
  </si>
  <si>
    <t>D0110401</t>
  </si>
  <si>
    <t>D0110402</t>
  </si>
  <si>
    <t>Delivery mode</t>
  </si>
  <si>
    <t>D0110403</t>
  </si>
  <si>
    <t>D0110500</t>
  </si>
  <si>
    <t>Payment Terms</t>
  </si>
  <si>
    <t>D0110501</t>
  </si>
  <si>
    <t>D0110502</t>
  </si>
  <si>
    <t>D0110600</t>
  </si>
  <si>
    <t>D0110601</t>
  </si>
  <si>
    <t>D0110602</t>
  </si>
  <si>
    <t>D0110603</t>
  </si>
  <si>
    <t>D0110604</t>
  </si>
  <si>
    <t>D0110605</t>
  </si>
  <si>
    <t>Line status</t>
  </si>
  <si>
    <t>D0110606</t>
  </si>
  <si>
    <t>D0110607</t>
  </si>
  <si>
    <t>D0110608</t>
  </si>
  <si>
    <t>D0110700</t>
  </si>
  <si>
    <t>PO Line Ship To Address</t>
  </si>
  <si>
    <t>Allows for shipping to multiple locations on single PO</t>
  </si>
  <si>
    <t>D0110701</t>
  </si>
  <si>
    <t>D0110800</t>
  </si>
  <si>
    <t>Kit Line</t>
  </si>
  <si>
    <t>Often it is viewed as necessary to view Kit detail along with Kit #, Description when viewing and ordering Kits</t>
  </si>
  <si>
    <t>D0110801</t>
  </si>
  <si>
    <t>Kit item number</t>
  </si>
  <si>
    <t>D0110802</t>
  </si>
  <si>
    <t>Kit item description</t>
  </si>
  <si>
    <t>D0110803</t>
  </si>
  <si>
    <t>Kit quantity</t>
  </si>
  <si>
    <t>D0110804</t>
  </si>
  <si>
    <t>Component item number</t>
  </si>
  <si>
    <t>Item, Description and Quantity for each item in Kit</t>
  </si>
  <si>
    <t>D0110805</t>
  </si>
  <si>
    <t>Component item description</t>
  </si>
  <si>
    <t>D0110806</t>
  </si>
  <si>
    <t>Component quantity</t>
  </si>
  <si>
    <t>D0110900</t>
  </si>
  <si>
    <t>D0110901</t>
  </si>
  <si>
    <t>D0111000</t>
  </si>
  <si>
    <t>Project</t>
  </si>
  <si>
    <t>D0111001</t>
  </si>
  <si>
    <t>D0111002</t>
  </si>
  <si>
    <t>For linking to specific budget lines</t>
  </si>
  <si>
    <t>Purchase Order Workflow</t>
  </si>
  <si>
    <t>System-based workflow that defines the rules for routing and approval of a request before purchase order is confirmed</t>
  </si>
  <si>
    <t>D0120100</t>
  </si>
  <si>
    <t>D0120101</t>
  </si>
  <si>
    <t>D0120102</t>
  </si>
  <si>
    <t>D0120103</t>
  </si>
  <si>
    <t>D0120104</t>
  </si>
  <si>
    <t>D0120105</t>
  </si>
  <si>
    <t>Workflow rules for how to route a request when user action isn't timely</t>
  </si>
  <si>
    <t>D0120106</t>
  </si>
  <si>
    <t>Capability for users to re-assign their approval authority to other users temporarily, such as when on vacation</t>
  </si>
  <si>
    <t>Supplier Invoice</t>
  </si>
  <si>
    <t>Document from supplier identifying amount due for goods received or services provided</t>
  </si>
  <si>
    <t>D0130100</t>
  </si>
  <si>
    <t>Invoice Header</t>
  </si>
  <si>
    <t>D0130101</t>
  </si>
  <si>
    <t>Invoice number</t>
  </si>
  <si>
    <t>Primarily a Finance activity, Reference only for Logistics purposes</t>
  </si>
  <si>
    <t>D0130102</t>
  </si>
  <si>
    <t>D0130103</t>
  </si>
  <si>
    <t>Invoice total</t>
  </si>
  <si>
    <t>D0130200</t>
  </si>
  <si>
    <t>D0130201</t>
  </si>
  <si>
    <t>D0130300</t>
  </si>
  <si>
    <t>D0130301</t>
  </si>
  <si>
    <t>D0130302</t>
  </si>
  <si>
    <t>Invoice due date</t>
  </si>
  <si>
    <t>D0130303</t>
  </si>
  <si>
    <t>Purchase order number(s) linked to invoice for 2- or 3-way match purposes</t>
  </si>
  <si>
    <t>D0130400</t>
  </si>
  <si>
    <t>Invoice Line</t>
  </si>
  <si>
    <t>D0130401</t>
  </si>
  <si>
    <t>Item</t>
  </si>
  <si>
    <t>D0130402</t>
  </si>
  <si>
    <t>D0130403</t>
  </si>
  <si>
    <t>D0130404</t>
  </si>
  <si>
    <t>Supplier Payment</t>
  </si>
  <si>
    <t>Payment to supplier for goods purchase and received or services provided</t>
  </si>
  <si>
    <t>D0140100</t>
  </si>
  <si>
    <t>Payment Header</t>
  </si>
  <si>
    <t>D0140101</t>
  </si>
  <si>
    <t>Payment number</t>
  </si>
  <si>
    <t>D0140102</t>
  </si>
  <si>
    <t>D0140103</t>
  </si>
  <si>
    <t>D0140104</t>
  </si>
  <si>
    <t>Total payment amount</t>
  </si>
  <si>
    <t>D0140105</t>
  </si>
  <si>
    <t>Payment date</t>
  </si>
  <si>
    <t>D0140106</t>
  </si>
  <si>
    <t>D0140200</t>
  </si>
  <si>
    <t>Payment Detail</t>
  </si>
  <si>
    <t>D0140201</t>
  </si>
  <si>
    <t>Invoice due amount</t>
  </si>
  <si>
    <t>D0140202</t>
  </si>
  <si>
    <t>Voucher number</t>
  </si>
  <si>
    <t>D0140203</t>
  </si>
  <si>
    <t>Method of payment</t>
  </si>
  <si>
    <t>Check, ACH, Wire for example</t>
  </si>
  <si>
    <t>D0140204</t>
  </si>
  <si>
    <t>Bank account</t>
  </si>
  <si>
    <t>D0140300</t>
  </si>
  <si>
    <t>Invoice(s) Paid</t>
  </si>
  <si>
    <t>D0140301</t>
  </si>
  <si>
    <t>Invoice number(s)</t>
  </si>
  <si>
    <t>Request for Quote</t>
  </si>
  <si>
    <t>Request for suppliers to offer goods or services</t>
  </si>
  <si>
    <t>D0150100</t>
  </si>
  <si>
    <t>Request for Quote Header</t>
  </si>
  <si>
    <t>D0150101</t>
  </si>
  <si>
    <t>RFQ number</t>
  </si>
  <si>
    <t>D0150102</t>
  </si>
  <si>
    <t>D0150103</t>
  </si>
  <si>
    <t>D0150104</t>
  </si>
  <si>
    <t>RFQ type</t>
  </si>
  <si>
    <t>General, FA, ITT, etc.</t>
  </si>
  <si>
    <t>D0150105</t>
  </si>
  <si>
    <t>Procurement method</t>
  </si>
  <si>
    <t>Single quote, Multiple quote, National, International, etc.</t>
  </si>
  <si>
    <t>D0150106</t>
  </si>
  <si>
    <t>D0150200</t>
  </si>
  <si>
    <t>Bidding Guidance</t>
  </si>
  <si>
    <t>D0150201</t>
  </si>
  <si>
    <t>Text description</t>
  </si>
  <si>
    <t>D0150300</t>
  </si>
  <si>
    <t>Requested or actual bidding suppliers</t>
  </si>
  <si>
    <t>D0150301</t>
  </si>
  <si>
    <t>D0150302</t>
  </si>
  <si>
    <t>D0150303</t>
  </si>
  <si>
    <t>D0150304</t>
  </si>
  <si>
    <t>D0150400</t>
  </si>
  <si>
    <t>Request for Quote Line</t>
  </si>
  <si>
    <t>D0150401</t>
  </si>
  <si>
    <t>D0150402</t>
  </si>
  <si>
    <t>D0150403</t>
  </si>
  <si>
    <t>D0150404</t>
  </si>
  <si>
    <t>D0150405</t>
  </si>
  <si>
    <t>D0150406</t>
  </si>
  <si>
    <t>D0150407</t>
  </si>
  <si>
    <t>D0150408</t>
  </si>
  <si>
    <t>D0150500</t>
  </si>
  <si>
    <t>D0150501</t>
  </si>
  <si>
    <t>Bid Analysis</t>
  </si>
  <si>
    <t>Review suppliers quotes/bids and determine which quote to accept</t>
  </si>
  <si>
    <t>D0160100</t>
  </si>
  <si>
    <t>Bid Details</t>
  </si>
  <si>
    <t>Specific information about the purchase request and bid</t>
  </si>
  <si>
    <t>D0160101</t>
  </si>
  <si>
    <t>D0160102</t>
  </si>
  <si>
    <t>Donor ID</t>
  </si>
  <si>
    <t>D0160103</t>
  </si>
  <si>
    <t>Project start date</t>
  </si>
  <si>
    <t>D0160104</t>
  </si>
  <si>
    <t>Requirement summary</t>
  </si>
  <si>
    <t>D0160200</t>
  </si>
  <si>
    <t>Essential Criteria</t>
  </si>
  <si>
    <t>Questions that provide high-level review of quote submissions to help identify timely and complete supplier quotes for further analysis</t>
  </si>
  <si>
    <t>D0160201</t>
  </si>
  <si>
    <t>Quote deadline</t>
  </si>
  <si>
    <t>Text field for identifying if suppliers completed quote within requested timeline</t>
  </si>
  <si>
    <t>D0160202</t>
  </si>
  <si>
    <t>Supporting documents</t>
  </si>
  <si>
    <t>Text field for identifying if suppliers provided all supporting documentation</t>
  </si>
  <si>
    <t>D0160203</t>
  </si>
  <si>
    <t>Incomplete quotes</t>
  </si>
  <si>
    <t>Text field for identifying vendors who provided incomplete quotes</t>
  </si>
  <si>
    <t>D0160204</t>
  </si>
  <si>
    <t>Quotations eliminated</t>
  </si>
  <si>
    <t>Text field for identifying any quotes eliminated based on above criteria</t>
  </si>
  <si>
    <t>D0160300</t>
  </si>
  <si>
    <t>Quote Financial Analysis</t>
  </si>
  <si>
    <t>Financial analysis of all supplier quotes including unit costs, total costs and multi-currency analysis</t>
  </si>
  <si>
    <t>D0160301</t>
  </si>
  <si>
    <t>Suppplier name</t>
  </si>
  <si>
    <t>D0160302</t>
  </si>
  <si>
    <t>Offer date</t>
  </si>
  <si>
    <t>D0160303</t>
  </si>
  <si>
    <t>Analysis currency</t>
  </si>
  <si>
    <t>D0160304</t>
  </si>
  <si>
    <t>Quote currency</t>
  </si>
  <si>
    <t>D0160305</t>
  </si>
  <si>
    <t>Exchange rate date</t>
  </si>
  <si>
    <t>D0160306</t>
  </si>
  <si>
    <t>D0160307</t>
  </si>
  <si>
    <t>Exchange rate source</t>
  </si>
  <si>
    <t>D0160308</t>
  </si>
  <si>
    <t>D0160309</t>
  </si>
  <si>
    <t>D0160310</t>
  </si>
  <si>
    <t>D0160311</t>
  </si>
  <si>
    <t>Original currency unit cost</t>
  </si>
  <si>
    <t>D0160312</t>
  </si>
  <si>
    <t>Original currency total</t>
  </si>
  <si>
    <t>D0160313</t>
  </si>
  <si>
    <t>Analysis curren unit cost</t>
  </si>
  <si>
    <t>D0160314</t>
  </si>
  <si>
    <t>Analysis currency total</t>
  </si>
  <si>
    <t>D0160315</t>
  </si>
  <si>
    <t>D0160316</t>
  </si>
  <si>
    <t>Freight cost</t>
  </si>
  <si>
    <t>D0160317</t>
  </si>
  <si>
    <t>Insurance cost</t>
  </si>
  <si>
    <t>D0160318</t>
  </si>
  <si>
    <t>Other costs</t>
  </si>
  <si>
    <t>D0160319</t>
  </si>
  <si>
    <t>Grand total</t>
  </si>
  <si>
    <t>D0160320</t>
  </si>
  <si>
    <t>Additional information</t>
  </si>
  <si>
    <t>Text field for any extra relevant information</t>
  </si>
  <si>
    <t>D0160321</t>
  </si>
  <si>
    <t>D0160322</t>
  </si>
  <si>
    <t>D0160400</t>
  </si>
  <si>
    <t>Award Details</t>
  </si>
  <si>
    <t>D0160401</t>
  </si>
  <si>
    <t>Recommended supplier</t>
  </si>
  <si>
    <t>D0160402</t>
  </si>
  <si>
    <t>Award value</t>
  </si>
  <si>
    <t>D0160403</t>
  </si>
  <si>
    <t>Total award percentage</t>
  </si>
  <si>
    <t>D0160404</t>
  </si>
  <si>
    <t>Justification</t>
  </si>
  <si>
    <t>Text field for award justification description</t>
  </si>
  <si>
    <t>D0160405</t>
  </si>
  <si>
    <t>Total contract award value</t>
  </si>
  <si>
    <t>D0160500</t>
  </si>
  <si>
    <t>Approvals</t>
  </si>
  <si>
    <t>D0160501</t>
  </si>
  <si>
    <t>Department</t>
  </si>
  <si>
    <t>D0160502</t>
  </si>
  <si>
    <t>Name</t>
  </si>
  <si>
    <t>D0160503</t>
  </si>
  <si>
    <t>Position</t>
  </si>
  <si>
    <t>D0160504</t>
  </si>
  <si>
    <t>Date</t>
  </si>
  <si>
    <t>Procurement Waiver</t>
  </si>
  <si>
    <t xml:space="preserve">Form to request waiver of a specific procurement requirement </t>
  </si>
  <si>
    <t>D0170100</t>
  </si>
  <si>
    <t>Waiver Header</t>
  </si>
  <si>
    <t>D0170101</t>
  </si>
  <si>
    <t>Bid waiver category</t>
  </si>
  <si>
    <t>D0170102</t>
  </si>
  <si>
    <t>Waiver summary description</t>
  </si>
  <si>
    <t>Summary of reason for waiver request</t>
  </si>
  <si>
    <t>D0170103</t>
  </si>
  <si>
    <t>Requisitioning department</t>
  </si>
  <si>
    <t>D0170104</t>
  </si>
  <si>
    <t>D0170200</t>
  </si>
  <si>
    <t>Waiver Detail</t>
  </si>
  <si>
    <t>D0170201</t>
  </si>
  <si>
    <t>D0170202</t>
  </si>
  <si>
    <t>D0170203</t>
  </si>
  <si>
    <t>Unit price</t>
  </si>
  <si>
    <t>D0170204</t>
  </si>
  <si>
    <t>D0170205</t>
  </si>
  <si>
    <t>D0170206</t>
  </si>
  <si>
    <t>Waiver request contact</t>
  </si>
  <si>
    <t>Individual to contact for waiver request questions</t>
  </si>
  <si>
    <t>D0170207</t>
  </si>
  <si>
    <t>Requester e-mail</t>
  </si>
  <si>
    <t>Bill of Quantities</t>
  </si>
  <si>
    <t xml:space="preserve">Bill for materials for construction of physical resources at field locations </t>
  </si>
  <si>
    <t>D0180100</t>
  </si>
  <si>
    <t>Bill of Quantities Header</t>
  </si>
  <si>
    <t>D0180101</t>
  </si>
  <si>
    <t>Bill of quantity</t>
  </si>
  <si>
    <t>D0180102</t>
  </si>
  <si>
    <t>Bill of quantity description</t>
  </si>
  <si>
    <t>D0180200</t>
  </si>
  <si>
    <t>Bill of Quantities Line</t>
  </si>
  <si>
    <t>D0180201</t>
  </si>
  <si>
    <t>D0180202</t>
  </si>
  <si>
    <t>D0180203</t>
  </si>
  <si>
    <t>Instruction text</t>
  </si>
  <si>
    <t>Donation Request</t>
  </si>
  <si>
    <t>Information about a donation request for a specific donor</t>
  </si>
  <si>
    <t>D0190100</t>
  </si>
  <si>
    <t>Donation General</t>
  </si>
  <si>
    <t>D0190101</t>
  </si>
  <si>
    <t>D0190102</t>
  </si>
  <si>
    <t>Organization</t>
  </si>
  <si>
    <t>D0190103</t>
  </si>
  <si>
    <t>Business address</t>
  </si>
  <si>
    <t>D0190200</t>
  </si>
  <si>
    <t>Donation Request Detail</t>
  </si>
  <si>
    <t>D0190201</t>
  </si>
  <si>
    <t>Donor name</t>
  </si>
  <si>
    <t>D0190202</t>
  </si>
  <si>
    <t>Program name</t>
  </si>
  <si>
    <t>D0190203</t>
  </si>
  <si>
    <t>Requested donation amount</t>
  </si>
  <si>
    <t>D0190300</t>
  </si>
  <si>
    <t>Donation Item Detail</t>
  </si>
  <si>
    <t>D0190301</t>
  </si>
  <si>
    <t>Requested items</t>
  </si>
  <si>
    <t>D0190302</t>
  </si>
  <si>
    <t>Requested quantity</t>
  </si>
  <si>
    <t>D0190303</t>
  </si>
  <si>
    <t>D0190400</t>
  </si>
  <si>
    <t>Donation Asset Detail</t>
  </si>
  <si>
    <t>D0190401</t>
  </si>
  <si>
    <t>Requested assets</t>
  </si>
  <si>
    <t>D0190402</t>
  </si>
  <si>
    <t>D0190403</t>
  </si>
  <si>
    <t>D0190500</t>
  </si>
  <si>
    <t>Donation Tracking Request</t>
  </si>
  <si>
    <t>Type of tracking requested by donor</t>
  </si>
  <si>
    <t>D0190501</t>
  </si>
  <si>
    <t>Tracking type</t>
  </si>
  <si>
    <t>D0190502</t>
  </si>
  <si>
    <t>Tracking description</t>
  </si>
  <si>
    <t>Service Delivery Confirmation</t>
  </si>
  <si>
    <t>Report or document that could be used as service fulfillment verification to notify Procurement an invoice can be paid; similar to Goods Receipt Notice for physical product</t>
  </si>
  <si>
    <t>D0200100</t>
  </si>
  <si>
    <t>Service Delivery General</t>
  </si>
  <si>
    <t>Example data; for example PO #, Services date</t>
  </si>
  <si>
    <t>D0200101</t>
  </si>
  <si>
    <t>Purchase order document number</t>
  </si>
  <si>
    <t>Purchase order number or Contract number</t>
  </si>
  <si>
    <t>D0200102</t>
  </si>
  <si>
    <t>D0200103</t>
  </si>
  <si>
    <t>D0200104</t>
  </si>
  <si>
    <t>Service date</t>
  </si>
  <si>
    <t>D0200200</t>
  </si>
  <si>
    <t>Service Requester</t>
  </si>
  <si>
    <t>D0200201</t>
  </si>
  <si>
    <t>Person name</t>
  </si>
  <si>
    <t>D0200300</t>
  </si>
  <si>
    <t>Service Completion Detail</t>
  </si>
  <si>
    <t>D0200301</t>
  </si>
  <si>
    <t>D0200302</t>
  </si>
  <si>
    <t>Completion quantity</t>
  </si>
  <si>
    <t>Warehouse Master</t>
  </si>
  <si>
    <t>Individual warehouse-specific master data such Warehouse ID, address and all storage locations within a warehouse.</t>
  </si>
  <si>
    <t>D0210100</t>
  </si>
  <si>
    <t>Warehouse General</t>
  </si>
  <si>
    <t>D0210101</t>
  </si>
  <si>
    <t>ID number for specific warehouse</t>
  </si>
  <si>
    <t>D0210102</t>
  </si>
  <si>
    <t>Name for specific warehouse</t>
  </si>
  <si>
    <t>D0210200</t>
  </si>
  <si>
    <t>Warehouse location address</t>
  </si>
  <si>
    <t>D0210201</t>
  </si>
  <si>
    <t>D0210300</t>
  </si>
  <si>
    <t>Warehouse Location</t>
  </si>
  <si>
    <t>Storage locations defined with warehouse</t>
  </si>
  <si>
    <t>D0210301</t>
  </si>
  <si>
    <t>Aisle</t>
  </si>
  <si>
    <t>Indicates company location of warehouse</t>
  </si>
  <si>
    <t>D0210302</t>
  </si>
  <si>
    <t>Rack</t>
  </si>
  <si>
    <t>D0210303</t>
  </si>
  <si>
    <t>Shelf</t>
  </si>
  <si>
    <t>D0210304</t>
  </si>
  <si>
    <t>Bin</t>
  </si>
  <si>
    <t>Individual Item and warehouse-specific master data such as buffer stock quantity or Item counting policy</t>
  </si>
  <si>
    <t>D0220100</t>
  </si>
  <si>
    <t>Item Warehouse</t>
  </si>
  <si>
    <t>Item/Warehouse-specific data</t>
  </si>
  <si>
    <t>D0220101</t>
  </si>
  <si>
    <t>Counting group</t>
  </si>
  <si>
    <t>Grouping for items to allow counting together</t>
  </si>
  <si>
    <t>D0220102</t>
  </si>
  <si>
    <t>Item count policy</t>
  </si>
  <si>
    <t>Setting that would define how frequently an item is counted</t>
  </si>
  <si>
    <t>D0220200</t>
  </si>
  <si>
    <t>Buffer Stock</t>
  </si>
  <si>
    <t>D0220201</t>
  </si>
  <si>
    <t>Inventory policy</t>
  </si>
  <si>
    <t>Such as Min/Max amount or Reorder point</t>
  </si>
  <si>
    <t>D0220202</t>
  </si>
  <si>
    <t>Shipment</t>
  </si>
  <si>
    <t>Form/transaction document in IT system that identifies the containers, items and quantities for transportation under the terms of a bill of lading or air waybill. Most often processing the shipment in the IT system results in removing or decreasing inventory in the source warehouse and is the source of most data for shipping documents required as part of transporting the cargo</t>
  </si>
  <si>
    <t>D0230100</t>
  </si>
  <si>
    <t>Shipment Header</t>
  </si>
  <si>
    <t>Example data; Shipment #, Carrier, Transport mode</t>
  </si>
  <si>
    <t>D0230101</t>
  </si>
  <si>
    <t>Shipment number</t>
  </si>
  <si>
    <t>D0230102</t>
  </si>
  <si>
    <t>Shipment status</t>
  </si>
  <si>
    <t>D0230103</t>
  </si>
  <si>
    <t>Pick up date</t>
  </si>
  <si>
    <t>D0230104</t>
  </si>
  <si>
    <t>Shipment arrival date</t>
  </si>
  <si>
    <t>D0230105</t>
  </si>
  <si>
    <t>Shipping carrier</t>
  </si>
  <si>
    <t>D0230106</t>
  </si>
  <si>
    <t>Transport mode</t>
  </si>
  <si>
    <t>Ground, Overnight Air, 2-Day Air, Ocean, etc.</t>
  </si>
  <si>
    <t>D0230107</t>
  </si>
  <si>
    <t>Incoterms</t>
  </si>
  <si>
    <t>EXW, FCA, CPT, FOB, CIF, etc.</t>
  </si>
  <si>
    <t>D0230108</t>
  </si>
  <si>
    <t>Shipment tracking number</t>
  </si>
  <si>
    <t>D0230200</t>
  </si>
  <si>
    <t>D0230201</t>
  </si>
  <si>
    <t>D0230300</t>
  </si>
  <si>
    <t>D0230301</t>
  </si>
  <si>
    <t>D0230400</t>
  </si>
  <si>
    <t>Shipment Line</t>
  </si>
  <si>
    <t>D0230401</t>
  </si>
  <si>
    <t>D0230402</t>
  </si>
  <si>
    <t>D0230403</t>
  </si>
  <si>
    <t>Goods Received Note</t>
  </si>
  <si>
    <t>Internal receiving document identifying actual receipts</t>
  </si>
  <si>
    <t>D0240100</t>
  </si>
  <si>
    <t>Goods Receipt Header</t>
  </si>
  <si>
    <t>Key receiving data; for example, PO #, Receipt date, Supplier packing list #</t>
  </si>
  <si>
    <t>D0240101</t>
  </si>
  <si>
    <t>ID for related purchase order</t>
  </si>
  <si>
    <t>D0240102</t>
  </si>
  <si>
    <t>Receipt list</t>
  </si>
  <si>
    <t>Describes receiving batch that product receipt is a part of</t>
  </si>
  <si>
    <t>D0240103</t>
  </si>
  <si>
    <t>Date product is delivered</t>
  </si>
  <si>
    <t>D0240200</t>
  </si>
  <si>
    <t>D0240201</t>
  </si>
  <si>
    <t>D0240300</t>
  </si>
  <si>
    <t>D0240301</t>
  </si>
  <si>
    <t>D0240400</t>
  </si>
  <si>
    <t>Receiving Line</t>
  </si>
  <si>
    <t>Actual line receipt data</t>
  </si>
  <si>
    <t>D0240401</t>
  </si>
  <si>
    <t>Quantity ordered</t>
  </si>
  <si>
    <t>D0240402</t>
  </si>
  <si>
    <t>D0240403</t>
  </si>
  <si>
    <t>Quantity rejected</t>
  </si>
  <si>
    <t>D0240404</t>
  </si>
  <si>
    <t>Receipt date</t>
  </si>
  <si>
    <t>D0240405</t>
  </si>
  <si>
    <t>Receiver</t>
  </si>
  <si>
    <t>D0240406</t>
  </si>
  <si>
    <t>Price of item on relevant line</t>
  </si>
  <si>
    <t>D0240407</t>
  </si>
  <si>
    <t>Cost of item on relevent line</t>
  </si>
  <si>
    <t>D0240500</t>
  </si>
  <si>
    <t>If receiving a kit, should identify each kit component item and quantity</t>
  </si>
  <si>
    <t>D0240501</t>
  </si>
  <si>
    <t>D0240502</t>
  </si>
  <si>
    <t>D0240503</t>
  </si>
  <si>
    <t>Picking List</t>
  </si>
  <si>
    <t>Item picking document for outbound supply shipment or picking materials to build a kit</t>
  </si>
  <si>
    <t>D0250100</t>
  </si>
  <si>
    <t>Picking List Header</t>
  </si>
  <si>
    <t>D0250101</t>
  </si>
  <si>
    <t>Picking list number</t>
  </si>
  <si>
    <t>D0250102</t>
  </si>
  <si>
    <t>D0250103</t>
  </si>
  <si>
    <t>D0250200</t>
  </si>
  <si>
    <t>Address Ship To</t>
  </si>
  <si>
    <t>D0250201</t>
  </si>
  <si>
    <t>D0250202</t>
  </si>
  <si>
    <t>D0250300</t>
  </si>
  <si>
    <t>Picking Line</t>
  </si>
  <si>
    <t>D0250301</t>
  </si>
  <si>
    <t>D0250302</t>
  </si>
  <si>
    <t>D0250303</t>
  </si>
  <si>
    <t>Requested pick quantity</t>
  </si>
  <si>
    <t>D0250304</t>
  </si>
  <si>
    <t>Pick quantity</t>
  </si>
  <si>
    <t>Special Handling Instructions</t>
  </si>
  <si>
    <t>Directions for how to handle specific items, if needed</t>
  </si>
  <si>
    <t>D0260100</t>
  </si>
  <si>
    <t>D0260101</t>
  </si>
  <si>
    <t>D0260102</t>
  </si>
  <si>
    <t>D0260200</t>
  </si>
  <si>
    <t>Instructions Detail</t>
  </si>
  <si>
    <t>D0260201</t>
  </si>
  <si>
    <t>Packing List</t>
  </si>
  <si>
    <t>Items and quantity packed for a shipment in a container</t>
  </si>
  <si>
    <t>D0270100</t>
  </si>
  <si>
    <t>Packing List Header</t>
  </si>
  <si>
    <t>D0270101</t>
  </si>
  <si>
    <t>Packing list number</t>
  </si>
  <si>
    <t>D0270102</t>
  </si>
  <si>
    <t>D0270103</t>
  </si>
  <si>
    <t>D0270200</t>
  </si>
  <si>
    <t>D0270201</t>
  </si>
  <si>
    <t>D0270300</t>
  </si>
  <si>
    <t>D0270301</t>
  </si>
  <si>
    <t>D0270400</t>
  </si>
  <si>
    <t>Packing List Line</t>
  </si>
  <si>
    <t>D0270401</t>
  </si>
  <si>
    <t>D0270402</t>
  </si>
  <si>
    <t>D0270403</t>
  </si>
  <si>
    <t>Bill of Lading</t>
  </si>
  <si>
    <t>Document that acknowledges receipt of cargo for shipment and serves as receipt for consignor (shipper)</t>
  </si>
  <si>
    <t>D0280100</t>
  </si>
  <si>
    <t>Bill of Lading Header</t>
  </si>
  <si>
    <t>D0280101</t>
  </si>
  <si>
    <t>Bill of lading number</t>
  </si>
  <si>
    <t>D0280102</t>
  </si>
  <si>
    <t>Carrier name</t>
  </si>
  <si>
    <t>D0280103</t>
  </si>
  <si>
    <t>Pro number</t>
  </si>
  <si>
    <t>D0280104</t>
  </si>
  <si>
    <t>D0280200</t>
  </si>
  <si>
    <t>D0280201</t>
  </si>
  <si>
    <t>D0280300</t>
  </si>
  <si>
    <t>D0280301</t>
  </si>
  <si>
    <t>D0280400</t>
  </si>
  <si>
    <t>Bill to for Shipping charges</t>
  </si>
  <si>
    <t>D0280401</t>
  </si>
  <si>
    <t>D0280500</t>
  </si>
  <si>
    <t>Order Information</t>
  </si>
  <si>
    <t>Description of items being carried, often a more general and/or transportation-specific than item descriptions</t>
  </si>
  <si>
    <t>D0280501</t>
  </si>
  <si>
    <t>Order number</t>
  </si>
  <si>
    <t>D0280502</t>
  </si>
  <si>
    <t>Number of packages</t>
  </si>
  <si>
    <t>D0280503</t>
  </si>
  <si>
    <t>Weight</t>
  </si>
  <si>
    <t>D0280504</t>
  </si>
  <si>
    <t>Pallet/Slip (Y/N) flag</t>
  </si>
  <si>
    <t>D0280505</t>
  </si>
  <si>
    <t>Additional shipper info</t>
  </si>
  <si>
    <t>D0280506</t>
  </si>
  <si>
    <t>Total packages</t>
  </si>
  <si>
    <t>D0280507</t>
  </si>
  <si>
    <t>Total weight</t>
  </si>
  <si>
    <t>D0280600</t>
  </si>
  <si>
    <t>Carrier Information</t>
  </si>
  <si>
    <t>D0280601</t>
  </si>
  <si>
    <t>Handling unit, Quantity</t>
  </si>
  <si>
    <t>How many pallets or containers on a shipment</t>
  </si>
  <si>
    <t>D0280602</t>
  </si>
  <si>
    <t>Handling unit, Type</t>
  </si>
  <si>
    <t>Type of equipment materials are stored in on shipment</t>
  </si>
  <si>
    <t>D0280603</t>
  </si>
  <si>
    <t>Package, Quantity</t>
  </si>
  <si>
    <t>How many individuals boxes or other storage types are in the handling units on shipment</t>
  </si>
  <si>
    <t>D0280604</t>
  </si>
  <si>
    <t>Package, Type</t>
  </si>
  <si>
    <t>Type of box materials are stored in on shipment</t>
  </si>
  <si>
    <t>D0280605</t>
  </si>
  <si>
    <t>D0280606</t>
  </si>
  <si>
    <t>Commodity description</t>
  </si>
  <si>
    <t>D0280607</t>
  </si>
  <si>
    <t>NMFC code</t>
  </si>
  <si>
    <t>National Motor Freight Classification</t>
  </si>
  <si>
    <t>D0280608</t>
  </si>
  <si>
    <t>Class</t>
  </si>
  <si>
    <t>D0280609</t>
  </si>
  <si>
    <t>Total Handling unit quantity</t>
  </si>
  <si>
    <t>D0280610</t>
  </si>
  <si>
    <t>Total package quantity</t>
  </si>
  <si>
    <t>D0280611</t>
  </si>
  <si>
    <t>Shipper's Letter of Instruction</t>
  </si>
  <si>
    <t>Exporter uses the form to convey transportation and documentation instructions to the freight forwarder, usually for international shipments</t>
  </si>
  <si>
    <t>D0290100</t>
  </si>
  <si>
    <t>Shipper's Letter of Instruction Header</t>
  </si>
  <si>
    <t>D0290101</t>
  </si>
  <si>
    <t>Ship date</t>
  </si>
  <si>
    <t>D0290102</t>
  </si>
  <si>
    <t>D0290103</t>
  </si>
  <si>
    <t>Point of origin</t>
  </si>
  <si>
    <t>D0290104</t>
  </si>
  <si>
    <t>Destination country</t>
  </si>
  <si>
    <t>D0290105</t>
  </si>
  <si>
    <t>D0290106</t>
  </si>
  <si>
    <t>Shipper's reference</t>
  </si>
  <si>
    <t>D0290200</t>
  </si>
  <si>
    <t>Shipper</t>
  </si>
  <si>
    <t>D0290201</t>
  </si>
  <si>
    <t>Shipper name</t>
  </si>
  <si>
    <t>D0290202</t>
  </si>
  <si>
    <t>D0290300</t>
  </si>
  <si>
    <t>Ultimate Consignee</t>
  </si>
  <si>
    <t>D0290301</t>
  </si>
  <si>
    <t>Consignee name</t>
  </si>
  <si>
    <t>D0290400</t>
  </si>
  <si>
    <t>Forwarding Agent</t>
  </si>
  <si>
    <t>D0290401</t>
  </si>
  <si>
    <t>Agent name</t>
  </si>
  <si>
    <t>D0290500</t>
  </si>
  <si>
    <t>Goods Description</t>
  </si>
  <si>
    <t>D0290501</t>
  </si>
  <si>
    <t>D0290502</t>
  </si>
  <si>
    <t>D0290503</t>
  </si>
  <si>
    <t>D0290504</t>
  </si>
  <si>
    <t>Value</t>
  </si>
  <si>
    <t>Commercial Invoice</t>
  </si>
  <si>
    <t>Identifies products being shipped and is primary document for importation control, valuation, and duty determination</t>
  </si>
  <si>
    <t>D0300100</t>
  </si>
  <si>
    <t>Commerical Invoice Header</t>
  </si>
  <si>
    <t>D0300101</t>
  </si>
  <si>
    <t>ID number of the invoice</t>
  </si>
  <si>
    <t>D0300102</t>
  </si>
  <si>
    <t>Invoice date</t>
  </si>
  <si>
    <t>D0300103</t>
  </si>
  <si>
    <t>D0300104</t>
  </si>
  <si>
    <t>Nature of consignment</t>
  </si>
  <si>
    <t>Broad description of the consignment</t>
  </si>
  <si>
    <t>D0300200</t>
  </si>
  <si>
    <t>D0300201</t>
  </si>
  <si>
    <t>D0300202</t>
  </si>
  <si>
    <t>D0300300</t>
  </si>
  <si>
    <t>Consignee</t>
  </si>
  <si>
    <t>D0300301</t>
  </si>
  <si>
    <t>D0300302</t>
  </si>
  <si>
    <t>D0300400</t>
  </si>
  <si>
    <t>Commercial Invoice Line</t>
  </si>
  <si>
    <t>D0300401</t>
  </si>
  <si>
    <t>ID number for item on invoice line</t>
  </si>
  <si>
    <t>D0300402</t>
  </si>
  <si>
    <t>D0300403</t>
  </si>
  <si>
    <t>Unit value</t>
  </si>
  <si>
    <t>D0300404</t>
  </si>
  <si>
    <t>D0300405</t>
  </si>
  <si>
    <t>D0300406</t>
  </si>
  <si>
    <t>Total quantity</t>
  </si>
  <si>
    <t>Total unit on invoice</t>
  </si>
  <si>
    <t>D0300407</t>
  </si>
  <si>
    <t>Total item value</t>
  </si>
  <si>
    <t>Total value of items on invoice</t>
  </si>
  <si>
    <t>D0300408</t>
  </si>
  <si>
    <t>Freight</t>
  </si>
  <si>
    <t>D0300409</t>
  </si>
  <si>
    <t>Insurance</t>
  </si>
  <si>
    <t>D0300410</t>
  </si>
  <si>
    <t>Total value</t>
  </si>
  <si>
    <t>Total invoice value</t>
  </si>
  <si>
    <t>Air Waybill</t>
  </si>
  <si>
    <t>D0310100</t>
  </si>
  <si>
    <t>D0310101</t>
  </si>
  <si>
    <t>D0310102</t>
  </si>
  <si>
    <t>D0310200</t>
  </si>
  <si>
    <t>D0310201</t>
  </si>
  <si>
    <t>D0310202</t>
  </si>
  <si>
    <t>D0310300</t>
  </si>
  <si>
    <t>Air Waybill Header</t>
  </si>
  <si>
    <t>D0310301</t>
  </si>
  <si>
    <t>Departure airport</t>
  </si>
  <si>
    <t>D0310302</t>
  </si>
  <si>
    <t>Destination airport</t>
  </si>
  <si>
    <t>D0310303</t>
  </si>
  <si>
    <t>Declared value</t>
  </si>
  <si>
    <t>D0310304</t>
  </si>
  <si>
    <t>Handling information</t>
  </si>
  <si>
    <t>D0310400</t>
  </si>
  <si>
    <t>D0310401</t>
  </si>
  <si>
    <t>Marks and numbers</t>
  </si>
  <si>
    <t>D0310402</t>
  </si>
  <si>
    <t>D0310403</t>
  </si>
  <si>
    <t>D0310404</t>
  </si>
  <si>
    <t>Rate</t>
  </si>
  <si>
    <t>D0310405</t>
  </si>
  <si>
    <t>Total</t>
  </si>
  <si>
    <t>D0310406</t>
  </si>
  <si>
    <t>Ocean Bill of Lading</t>
  </si>
  <si>
    <t>D0320100</t>
  </si>
  <si>
    <t>D0320101</t>
  </si>
  <si>
    <t>D0320102</t>
  </si>
  <si>
    <t>D0320200</t>
  </si>
  <si>
    <t>D0320201</t>
  </si>
  <si>
    <t>D0320202</t>
  </si>
  <si>
    <t>D0320300</t>
  </si>
  <si>
    <t>Ocean Bill of Lading Header</t>
  </si>
  <si>
    <t>D0320301</t>
  </si>
  <si>
    <t>Port of loading</t>
  </si>
  <si>
    <t>D0320302</t>
  </si>
  <si>
    <t>Port of unloading</t>
  </si>
  <si>
    <t>D0320303</t>
  </si>
  <si>
    <t>D0320304</t>
  </si>
  <si>
    <t>D0320400</t>
  </si>
  <si>
    <t>D0320401</t>
  </si>
  <si>
    <t>D0320402</t>
  </si>
  <si>
    <t>D0320403</t>
  </si>
  <si>
    <t>D0320404</t>
  </si>
  <si>
    <t>D0320405</t>
  </si>
  <si>
    <t>D0320406</t>
  </si>
  <si>
    <t>Certificate of Origin</t>
  </si>
  <si>
    <t>Document that attests products in shipment have met criteria to be considered as orginating in a particular country</t>
  </si>
  <si>
    <t>D0330100</t>
  </si>
  <si>
    <t>D0330101</t>
  </si>
  <si>
    <t>D0330102</t>
  </si>
  <si>
    <t>D0330200</t>
  </si>
  <si>
    <t>D0330201</t>
  </si>
  <si>
    <t>D0330202</t>
  </si>
  <si>
    <t>D0330300</t>
  </si>
  <si>
    <t>Producer</t>
  </si>
  <si>
    <t>D0330301</t>
  </si>
  <si>
    <t>Producer name</t>
  </si>
  <si>
    <t>D0330302</t>
  </si>
  <si>
    <t>D0330400</t>
  </si>
  <si>
    <t>D0330401</t>
  </si>
  <si>
    <t>D0330402</t>
  </si>
  <si>
    <t>Cost</t>
  </si>
  <si>
    <t>D0330500</t>
  </si>
  <si>
    <t>Country of Origin</t>
  </si>
  <si>
    <t>D0330501</t>
  </si>
  <si>
    <t>Country</t>
  </si>
  <si>
    <t>Pro Forma Invoice</t>
  </si>
  <si>
    <t>Document that displays value of materials on a shipment</t>
  </si>
  <si>
    <t>D0340100</t>
  </si>
  <si>
    <t>D0340101</t>
  </si>
  <si>
    <t>D0340102</t>
  </si>
  <si>
    <t>Customer number</t>
  </si>
  <si>
    <t>ID of vendor issuing invoice</t>
  </si>
  <si>
    <t>D0340103</t>
  </si>
  <si>
    <t>Due date</t>
  </si>
  <si>
    <t>Date payment of the invoice is due</t>
  </si>
  <si>
    <t>D0340104</t>
  </si>
  <si>
    <t>Invoice amount</t>
  </si>
  <si>
    <t>Total invoice amount</t>
  </si>
  <si>
    <t>D0340200</t>
  </si>
  <si>
    <t>D0340201</t>
  </si>
  <si>
    <t>D0340300</t>
  </si>
  <si>
    <t>D0340301</t>
  </si>
  <si>
    <t>D0340400</t>
  </si>
  <si>
    <t>D0340401</t>
  </si>
  <si>
    <t>D0340402</t>
  </si>
  <si>
    <t>D0340403</t>
  </si>
  <si>
    <t>Quantity of units invoiced</t>
  </si>
  <si>
    <t>D0340404</t>
  </si>
  <si>
    <t>Price of each unit invoiced</t>
  </si>
  <si>
    <t>D0340405</t>
  </si>
  <si>
    <t>Amount</t>
  </si>
  <si>
    <t>Line amount total</t>
  </si>
  <si>
    <t>Gift Certificate</t>
  </si>
  <si>
    <t>Document output from system stating shipment is for humanitarian and not resale purposes and has no commercial value</t>
  </si>
  <si>
    <t>D0350100</t>
  </si>
  <si>
    <t>Gift Certificate Detail</t>
  </si>
  <si>
    <t>D0350101</t>
  </si>
  <si>
    <t>Sender name</t>
  </si>
  <si>
    <t>D0350102</t>
  </si>
  <si>
    <t>Sender address</t>
  </si>
  <si>
    <t>D0350103</t>
  </si>
  <si>
    <t>Sender contacts</t>
  </si>
  <si>
    <t>D0350104</t>
  </si>
  <si>
    <t>Charity/registration number</t>
  </si>
  <si>
    <t>D0350105</t>
  </si>
  <si>
    <t>Free gift statement</t>
  </si>
  <si>
    <t>D0350106</t>
  </si>
  <si>
    <t>D0350107</t>
  </si>
  <si>
    <t>D0350108</t>
  </si>
  <si>
    <t>Consignee address</t>
  </si>
  <si>
    <t>D0350109</t>
  </si>
  <si>
    <t>Invoice reference</t>
  </si>
  <si>
    <t>D0350110</t>
  </si>
  <si>
    <t>Donated by</t>
  </si>
  <si>
    <t>Items and quantities on-hand in warehouse</t>
  </si>
  <si>
    <t>D0360100</t>
  </si>
  <si>
    <t>D0360101</t>
  </si>
  <si>
    <t>D0360102</t>
  </si>
  <si>
    <t>D0360200</t>
  </si>
  <si>
    <t>D0360201</t>
  </si>
  <si>
    <t>D0360202</t>
  </si>
  <si>
    <t>D0360203</t>
  </si>
  <si>
    <t>D0360204</t>
  </si>
  <si>
    <t>D0360300</t>
  </si>
  <si>
    <t>Item Quantity</t>
  </si>
  <si>
    <t>D0360301</t>
  </si>
  <si>
    <t>Quantity on-hand</t>
  </si>
  <si>
    <t>D0360302</t>
  </si>
  <si>
    <t>Quantity reserved</t>
  </si>
  <si>
    <t>Different types of inventory transactions in warehouse</t>
  </si>
  <si>
    <t>D0370100</t>
  </si>
  <si>
    <t>Item Receiving</t>
  </si>
  <si>
    <t>Stock change when item received into warehouse</t>
  </si>
  <si>
    <t>D0370101</t>
  </si>
  <si>
    <t>D0370102</t>
  </si>
  <si>
    <t>D0370103</t>
  </si>
  <si>
    <t>D0370104</t>
  </si>
  <si>
    <t>Put-away location</t>
  </si>
  <si>
    <t>Warehouse location where quantity of put-away</t>
  </si>
  <si>
    <t>D0370105</t>
  </si>
  <si>
    <t>Inventory status</t>
  </si>
  <si>
    <t>For example; Availabe or On hold</t>
  </si>
  <si>
    <t>D0370106</t>
  </si>
  <si>
    <t>Lot number</t>
  </si>
  <si>
    <t>If applicable, mulitple quantities of an item can have same identifier</t>
  </si>
  <si>
    <t>D0370107</t>
  </si>
  <si>
    <t>Serial number</t>
  </si>
  <si>
    <t>If applicable, each unit of item has different identifier</t>
  </si>
  <si>
    <t>D0370108</t>
  </si>
  <si>
    <t>License plate</t>
  </si>
  <si>
    <t>Unique identifier for a pallet or container of material used to simplify inventory transactions and aid material tracking</t>
  </si>
  <si>
    <t>D0370109</t>
  </si>
  <si>
    <t>Stock designation</t>
  </si>
  <si>
    <t>Reservation of stock for a specific program or activity</t>
  </si>
  <si>
    <t>D0370110</t>
  </si>
  <si>
    <t>GIK value</t>
  </si>
  <si>
    <t>Gift in kind valuation. Technology partner technical data models will determine if separate data field is required for GIK receipts</t>
  </si>
  <si>
    <t>D0370111</t>
  </si>
  <si>
    <t>GIK value source</t>
  </si>
  <si>
    <t>Donor/Valuation source of a receipt. Likely needed for scenarios where donors purchases items themselves.</t>
  </si>
  <si>
    <t>D0370200</t>
  </si>
  <si>
    <t>Item Picking</t>
  </si>
  <si>
    <t>Stock change when item is picked for shipment</t>
  </si>
  <si>
    <t>D0370201</t>
  </si>
  <si>
    <t>D0370202</t>
  </si>
  <si>
    <t>D0370203</t>
  </si>
  <si>
    <t>D0370204</t>
  </si>
  <si>
    <t>Pick location</t>
  </si>
  <si>
    <t>Warehouse location where 'picked' from</t>
  </si>
  <si>
    <t>D0370205</t>
  </si>
  <si>
    <t>D0370206</t>
  </si>
  <si>
    <t>D0370300</t>
  </si>
  <si>
    <t>Item Shipment</t>
  </si>
  <si>
    <t>Stock change when shipment is posted, typically this happens when Shipment business transaction document is posted and/or status changes</t>
  </si>
  <si>
    <t>D0370301</t>
  </si>
  <si>
    <t>D0370302</t>
  </si>
  <si>
    <t>D0370303</t>
  </si>
  <si>
    <t>D0370304</t>
  </si>
  <si>
    <t>D0370305</t>
  </si>
  <si>
    <t>D0370400</t>
  </si>
  <si>
    <t>Stock Adjustment</t>
  </si>
  <si>
    <t>Miscellaneous transaction to increase or decrease item quantity on-hand</t>
  </si>
  <si>
    <t>D0370401</t>
  </si>
  <si>
    <t>D0370402</t>
  </si>
  <si>
    <t>D0370403</t>
  </si>
  <si>
    <t>D0370404</t>
  </si>
  <si>
    <t>Warehouse location</t>
  </si>
  <si>
    <t>Warehouse location where stock adjusted out from or in to</t>
  </si>
  <si>
    <t>D0370405</t>
  </si>
  <si>
    <t>D0370406</t>
  </si>
  <si>
    <t>D0370407</t>
  </si>
  <si>
    <t>Reason code</t>
  </si>
  <si>
    <t>D0370500</t>
  </si>
  <si>
    <t>Stock Movement</t>
  </si>
  <si>
    <t>Change inventory location within warehouse</t>
  </si>
  <si>
    <t>D0370501</t>
  </si>
  <si>
    <t>D0370502</t>
  </si>
  <si>
    <t>D0370503</t>
  </si>
  <si>
    <t>D0370504</t>
  </si>
  <si>
    <t>From warehouse location</t>
  </si>
  <si>
    <t>Warehouse location where stock moved from</t>
  </si>
  <si>
    <t>D0370505</t>
  </si>
  <si>
    <t>To warehouse location</t>
  </si>
  <si>
    <t>Warehouse location where stock moved to</t>
  </si>
  <si>
    <t>D0370506</t>
  </si>
  <si>
    <t>D0370507</t>
  </si>
  <si>
    <t>Inventory Count Sheet</t>
  </si>
  <si>
    <t>Document used for periodic physical inventory</t>
  </si>
  <si>
    <t>D0380100</t>
  </si>
  <si>
    <t>Count Sheet Header</t>
  </si>
  <si>
    <t>Example data: Count date, Warehouse, Counting user</t>
  </si>
  <si>
    <t>D0380101</t>
  </si>
  <si>
    <t>D0380102</t>
  </si>
  <si>
    <t>D0380103</t>
  </si>
  <si>
    <t>Count date</t>
  </si>
  <si>
    <t>D0380104</t>
  </si>
  <si>
    <t>Count user</t>
  </si>
  <si>
    <t>D0380200</t>
  </si>
  <si>
    <t>D0380201</t>
  </si>
  <si>
    <t>D0380202</t>
  </si>
  <si>
    <t>D0380300</t>
  </si>
  <si>
    <t>D0380301</t>
  </si>
  <si>
    <t>Aisle-Rack-Shelf-Bin location</t>
  </si>
  <si>
    <t>D0380400</t>
  </si>
  <si>
    <t>D0380401</t>
  </si>
  <si>
    <t>Counted quantity</t>
  </si>
  <si>
    <t>Bill of Material</t>
  </si>
  <si>
    <t>Defines a kit, and all components and quantities in the kit</t>
  </si>
  <si>
    <t>D0390100</t>
  </si>
  <si>
    <t>Bill of Material Header</t>
  </si>
  <si>
    <t>D0390101</t>
  </si>
  <si>
    <t>Bill of material number</t>
  </si>
  <si>
    <t>D0390102</t>
  </si>
  <si>
    <t>Bill of material description</t>
  </si>
  <si>
    <t>D0390103</t>
  </si>
  <si>
    <t>D0390104</t>
  </si>
  <si>
    <t>D0390200</t>
  </si>
  <si>
    <t>Bill of Material Line</t>
  </si>
  <si>
    <t>D0390201</t>
  </si>
  <si>
    <t>One line with item and quantity for each kit component</t>
  </si>
  <si>
    <t>D0390202</t>
  </si>
  <si>
    <t>Kit Order</t>
  </si>
  <si>
    <t>Document that tells team members how many kits to make including how many of each item to put in the kit</t>
  </si>
  <si>
    <t>D0400100</t>
  </si>
  <si>
    <t>Kit Order Header</t>
  </si>
  <si>
    <t>D0400101</t>
  </si>
  <si>
    <t>Kit order number</t>
  </si>
  <si>
    <t>Kit work order identifier number</t>
  </si>
  <si>
    <t>D0400102</t>
  </si>
  <si>
    <t>Kit item number being built</t>
  </si>
  <si>
    <t>D0400103</t>
  </si>
  <si>
    <t>Planned completion date for all kits</t>
  </si>
  <si>
    <t>D0400104</t>
  </si>
  <si>
    <t>D0400200</t>
  </si>
  <si>
    <t>Kit Component Line</t>
  </si>
  <si>
    <t>D0400201</t>
  </si>
  <si>
    <t>D0400202</t>
  </si>
  <si>
    <t>Inventory Transaction</t>
  </si>
  <si>
    <t>Additional inventory transactions required to process kits when kits built internally as opposed to arriving pre-made</t>
  </si>
  <si>
    <t>D0410100</t>
  </si>
  <si>
    <t>Kit Order Picking</t>
  </si>
  <si>
    <t>Pick materials from warehouse to be used in the kit</t>
  </si>
  <si>
    <t>D0410101</t>
  </si>
  <si>
    <t>D0410102</t>
  </si>
  <si>
    <t>Pick date</t>
  </si>
  <si>
    <t>D0410103</t>
  </si>
  <si>
    <t>Kit component item number, one line for each item in a kit</t>
  </si>
  <si>
    <t>D0410104</t>
  </si>
  <si>
    <t>D0410200</t>
  </si>
  <si>
    <t>Kit Order Completion</t>
  </si>
  <si>
    <t>Record # of completed kits</t>
  </si>
  <si>
    <t>D0410201</t>
  </si>
  <si>
    <t>D0410202</t>
  </si>
  <si>
    <t>D0410203</t>
  </si>
  <si>
    <t>Completion date</t>
  </si>
  <si>
    <t>D0410204</t>
  </si>
  <si>
    <t>Transportation Tender</t>
  </si>
  <si>
    <t>Request to a carrier to transport materials. Typically this is a transportation request for a third-party logistics provider. May be considered similar to a services purchase request, however in many systems it's a different form or transaction because data requiements are different from that required for a purchase order</t>
  </si>
  <si>
    <t>D0420100</t>
  </si>
  <si>
    <t>Transportation Requirements</t>
  </si>
  <si>
    <t>D0420101</t>
  </si>
  <si>
    <t>D0420102</t>
  </si>
  <si>
    <t>Carrier service</t>
  </si>
  <si>
    <t>D0420103</t>
  </si>
  <si>
    <t>D0420104</t>
  </si>
  <si>
    <t>Equipment</t>
  </si>
  <si>
    <t>D0420200</t>
  </si>
  <si>
    <t>Date Requirements</t>
  </si>
  <si>
    <t>D0420201</t>
  </si>
  <si>
    <t>D0420202</t>
  </si>
  <si>
    <t>D0420300</t>
  </si>
  <si>
    <t>D0420301</t>
  </si>
  <si>
    <t>D0420400</t>
  </si>
  <si>
    <t>D0420401</t>
  </si>
  <si>
    <t>Freight Bills</t>
  </si>
  <si>
    <t xml:space="preserve">Bill from carrier for transporation of materials. May be considered similar to invoices for other services, however in IT systems it's often a different form or transaction because data requirements are different from that required for other materials or services. </t>
  </si>
  <si>
    <t>D0430100</t>
  </si>
  <si>
    <t>Freight Invoice Header</t>
  </si>
  <si>
    <t>D0430101</t>
  </si>
  <si>
    <t>Freight invoice number</t>
  </si>
  <si>
    <t>D0430102</t>
  </si>
  <si>
    <t>From date</t>
  </si>
  <si>
    <t>First date of shipments included in bill</t>
  </si>
  <si>
    <t>D0430103</t>
  </si>
  <si>
    <t>To date</t>
  </si>
  <si>
    <t>Last date of shipments included in bill</t>
  </si>
  <si>
    <t>D0430104</t>
  </si>
  <si>
    <t>D0430105</t>
  </si>
  <si>
    <t>D0430200</t>
  </si>
  <si>
    <t>Freight Invoice Line</t>
  </si>
  <si>
    <t>D0430201</t>
  </si>
  <si>
    <t>Shipment ID</t>
  </si>
  <si>
    <t>D0430202</t>
  </si>
  <si>
    <t>D0430203</t>
  </si>
  <si>
    <t>D0430204</t>
  </si>
  <si>
    <t>Fleet Inventory</t>
  </si>
  <si>
    <t>Inventory of vehicles owned or managed and maintained by the organization</t>
  </si>
  <si>
    <t>D0440100</t>
  </si>
  <si>
    <t>Vehicle General</t>
  </si>
  <si>
    <t>Example data: Maintenance dates, Work performed</t>
  </si>
  <si>
    <t>D0440101</t>
  </si>
  <si>
    <t>Asset number</t>
  </si>
  <si>
    <t>D0440102</t>
  </si>
  <si>
    <t>Asset name</t>
  </si>
  <si>
    <t>D0440103</t>
  </si>
  <si>
    <t>Asset owner</t>
  </si>
  <si>
    <t>D0440104</t>
  </si>
  <si>
    <t>Make</t>
  </si>
  <si>
    <t>D0440105</t>
  </si>
  <si>
    <t>Model</t>
  </si>
  <si>
    <t>D0440106</t>
  </si>
  <si>
    <t>Year of manufacture</t>
  </si>
  <si>
    <t>D0440107</t>
  </si>
  <si>
    <t>Owned/rented</t>
  </si>
  <si>
    <t>D0440200</t>
  </si>
  <si>
    <t>Vehicle Maintenance Detail</t>
  </si>
  <si>
    <t>Required asset maintenance inspections</t>
  </si>
  <si>
    <t>D0440201</t>
  </si>
  <si>
    <t>Inspection type</t>
  </si>
  <si>
    <t>D0440202</t>
  </si>
  <si>
    <t>Last maintenance date</t>
  </si>
  <si>
    <t>D0440203</t>
  </si>
  <si>
    <t>Next maintenance date</t>
  </si>
  <si>
    <t>Maintenance Work Order</t>
  </si>
  <si>
    <t>Document describing maintenance to be performed and materials required to perform the maintenance</t>
  </si>
  <si>
    <t>D0450100</t>
  </si>
  <si>
    <t>Maintenance Work Order Header</t>
  </si>
  <si>
    <t>D0450101</t>
  </si>
  <si>
    <t>Maintenance work order number</t>
  </si>
  <si>
    <t>D0450102</t>
  </si>
  <si>
    <t>D0450103</t>
  </si>
  <si>
    <t>D0450104</t>
  </si>
  <si>
    <t>D0450200</t>
  </si>
  <si>
    <t>Work Instructions</t>
  </si>
  <si>
    <t>D0450201</t>
  </si>
  <si>
    <t>Instruction ID</t>
  </si>
  <si>
    <t>Multiple lines of instructions for a work order</t>
  </si>
  <si>
    <t>D0450202</t>
  </si>
  <si>
    <t>D0450300</t>
  </si>
  <si>
    <t>Required Materials</t>
  </si>
  <si>
    <t>D0450301</t>
  </si>
  <si>
    <t>D0450302</t>
  </si>
  <si>
    <t>Transport Request</t>
  </si>
  <si>
    <t>Internal request for transport of people</t>
  </si>
  <si>
    <t>D0460100</t>
  </si>
  <si>
    <t>Transport Detail</t>
  </si>
  <si>
    <t>D0460101</t>
  </si>
  <si>
    <t>From location</t>
  </si>
  <si>
    <t>D0460102</t>
  </si>
  <si>
    <t>To location</t>
  </si>
  <si>
    <t>D0460103</t>
  </si>
  <si>
    <t>D0460104</t>
  </si>
  <si>
    <t>Number of people</t>
  </si>
  <si>
    <t>Delivery Requirements</t>
  </si>
  <si>
    <t>Similar to Program Requirements, however this data group identifies additional delivery-specific data required to be able to execute a Delivery Plan</t>
  </si>
  <si>
    <t>D0470100</t>
  </si>
  <si>
    <t>Item Distribution Requirements</t>
  </si>
  <si>
    <t>What is desired to be distributed</t>
  </si>
  <si>
    <t>D0470101</t>
  </si>
  <si>
    <t>D0470102</t>
  </si>
  <si>
    <t>D0470103</t>
  </si>
  <si>
    <t>D0470200</t>
  </si>
  <si>
    <t>D0470201</t>
  </si>
  <si>
    <t>D0470202</t>
  </si>
  <si>
    <t>D0470300</t>
  </si>
  <si>
    <t>Transport Lead Times</t>
  </si>
  <si>
    <t>D0470301</t>
  </si>
  <si>
    <t>Number of days</t>
  </si>
  <si>
    <t>Number of days for transport mode from source to destination</t>
  </si>
  <si>
    <t>D0470400</t>
  </si>
  <si>
    <t>D0470401</t>
  </si>
  <si>
    <t>D0470500</t>
  </si>
  <si>
    <t>D0470501</t>
  </si>
  <si>
    <t>D0480100</t>
  </si>
  <si>
    <t>Planned item/quantity distributions based on plan constraints</t>
  </si>
  <si>
    <t>D0480101</t>
  </si>
  <si>
    <t>D0480102</t>
  </si>
  <si>
    <t>D0480103</t>
  </si>
  <si>
    <t>D0480200</t>
  </si>
  <si>
    <t>Dates that can actually be met based on plan constraints</t>
  </si>
  <si>
    <t>D0480201</t>
  </si>
  <si>
    <t>D0480202</t>
  </si>
  <si>
    <t>D0480300</t>
  </si>
  <si>
    <t>D0480301</t>
  </si>
  <si>
    <t>D0480400</t>
  </si>
  <si>
    <t>D0480401</t>
  </si>
  <si>
    <t>Stock Transfer Request</t>
  </si>
  <si>
    <t>Form/transaction document in IT system used to identify materials and quantities for a warehouse-to-warehouse movement. This type of document typically enables moving materials from one warehouse to another while maintaining visibility to the inventory within the IT system and not having to remove the inventory when shipped, then receive back into inventory upon arrival at destination</t>
  </si>
  <si>
    <t>D0490100</t>
  </si>
  <si>
    <t>Transfer Order Header</t>
  </si>
  <si>
    <t>D0490101</t>
  </si>
  <si>
    <t>Transfer order number</t>
  </si>
  <si>
    <t>D0490102</t>
  </si>
  <si>
    <t>D0490103</t>
  </si>
  <si>
    <t>D0490104</t>
  </si>
  <si>
    <t>Transfer order status</t>
  </si>
  <si>
    <t>D0490200</t>
  </si>
  <si>
    <t>D0490201</t>
  </si>
  <si>
    <t>From warehouse</t>
  </si>
  <si>
    <t>D0490202</t>
  </si>
  <si>
    <t>D0490300</t>
  </si>
  <si>
    <t>D0490301</t>
  </si>
  <si>
    <t>To warehouse</t>
  </si>
  <si>
    <t>D0490302</t>
  </si>
  <si>
    <t>D0490400</t>
  </si>
  <si>
    <t>Transfer Order Line</t>
  </si>
  <si>
    <t>D0490401</t>
  </si>
  <si>
    <t>D0490402</t>
  </si>
  <si>
    <t>D0490403</t>
  </si>
  <si>
    <t>D0490404</t>
  </si>
  <si>
    <t>Donation Tracking Report</t>
  </si>
  <si>
    <t>Output for '05.5 Donations (outbound)' Level 2 Process, reference Donor Report [D0720000]</t>
  </si>
  <si>
    <t>D0500100</t>
  </si>
  <si>
    <t>D0500101</t>
  </si>
  <si>
    <t>Report data elements</t>
  </si>
  <si>
    <t>Same as Donor Report [D720000]</t>
  </si>
  <si>
    <t>D0500200</t>
  </si>
  <si>
    <t>Donation Tracking Detail</t>
  </si>
  <si>
    <t>D0500201</t>
  </si>
  <si>
    <t>Loan Tracking Report</t>
  </si>
  <si>
    <t>Output for '05.6 Loans (outbound) Level 2 Process</t>
  </si>
  <si>
    <t>D0510100</t>
  </si>
  <si>
    <t>Loan General</t>
  </si>
  <si>
    <t>D0510101</t>
  </si>
  <si>
    <t>D0510102</t>
  </si>
  <si>
    <t>D0510103</t>
  </si>
  <si>
    <t>D0510104</t>
  </si>
  <si>
    <t>Field identifying asset in on loan</t>
  </si>
  <si>
    <t>D0510200</t>
  </si>
  <si>
    <t>Loan Tracking Detail</t>
  </si>
  <si>
    <t>D0510201</t>
  </si>
  <si>
    <t>Internal receiving document identifying actual receipts as output of Level 2 Processes, '06.3 Receive Distribution Return' and '06.4 Receive Loan Return'</t>
  </si>
  <si>
    <t>D0520100</t>
  </si>
  <si>
    <t>D0520101</t>
  </si>
  <si>
    <t>Same as Goods Received Note [D0240000]</t>
  </si>
  <si>
    <t>D0520200</t>
  </si>
  <si>
    <t>D0520201</t>
  </si>
  <si>
    <t>D0520300</t>
  </si>
  <si>
    <t>D0520301</t>
  </si>
  <si>
    <t>D0520400</t>
  </si>
  <si>
    <t>D0520401</t>
  </si>
  <si>
    <t>Asset Requirements</t>
  </si>
  <si>
    <t>Input from progams teams for '07.1 Plan Asset Management' Level 2 Process</t>
  </si>
  <si>
    <t>D0530100</t>
  </si>
  <si>
    <t>Asset General</t>
  </si>
  <si>
    <t>D0530101</t>
  </si>
  <si>
    <t>Asset description</t>
  </si>
  <si>
    <t>D0530102</t>
  </si>
  <si>
    <t>Asset category</t>
  </si>
  <si>
    <t>D0530103</t>
  </si>
  <si>
    <t>D0530200</t>
  </si>
  <si>
    <t>Asset need dates and delivery times/dates</t>
  </si>
  <si>
    <t>D0530201</t>
  </si>
  <si>
    <t>Asset Plan</t>
  </si>
  <si>
    <t>Output of '07.1 Plan Asset Management' Level 2 Process based on any constraints with purchasing and delivering assets to desired location</t>
  </si>
  <si>
    <t>D0540100</t>
  </si>
  <si>
    <t>D0540101</t>
  </si>
  <si>
    <t>D0540102</t>
  </si>
  <si>
    <t>D0540103</t>
  </si>
  <si>
    <t>D0540200</t>
  </si>
  <si>
    <t>Asset Plan Dates</t>
  </si>
  <si>
    <t>D0540201</t>
  </si>
  <si>
    <t>Asset Master</t>
  </si>
  <si>
    <t>Individual asset-specific master data; such as asset number, location and person assigned to</t>
  </si>
  <si>
    <t>D0550100</t>
  </si>
  <si>
    <t>D0550101</t>
  </si>
  <si>
    <t>D0550102</t>
  </si>
  <si>
    <t>D0550103</t>
  </si>
  <si>
    <t>D0550104</t>
  </si>
  <si>
    <t>Asset type</t>
  </si>
  <si>
    <t>D0550105</t>
  </si>
  <si>
    <t>D0550106</t>
  </si>
  <si>
    <t>Information 1</t>
  </si>
  <si>
    <t>D0550107</t>
  </si>
  <si>
    <t>Information 2</t>
  </si>
  <si>
    <t>D0550108</t>
  </si>
  <si>
    <t>D0550200</t>
  </si>
  <si>
    <t>Asset Location</t>
  </si>
  <si>
    <t>Asset location often needs to be able to be identified in a variety of ways; for example, Address, Building and Room #, Latitude/Longitude</t>
  </si>
  <si>
    <t>D0550201</t>
  </si>
  <si>
    <t>Location</t>
  </si>
  <si>
    <t>D0550202</t>
  </si>
  <si>
    <t>Location memo</t>
  </si>
  <si>
    <t>D0550203</t>
  </si>
  <si>
    <t>Assigned to</t>
  </si>
  <si>
    <t>Person responsible for care and return of an asset</t>
  </si>
  <si>
    <t>D0550204</t>
  </si>
  <si>
    <t>Bar code</t>
  </si>
  <si>
    <t>D0550205</t>
  </si>
  <si>
    <t>GIS reference number</t>
  </si>
  <si>
    <t>D0550300</t>
  </si>
  <si>
    <t>Asset Insurance</t>
  </si>
  <si>
    <t>D0550301</t>
  </si>
  <si>
    <t>Insurance vendor</t>
  </si>
  <si>
    <t>D0550302</t>
  </si>
  <si>
    <t>Agent</t>
  </si>
  <si>
    <t>D0550303</t>
  </si>
  <si>
    <t>Policy number</t>
  </si>
  <si>
    <t>D0550304</t>
  </si>
  <si>
    <t>Insured value</t>
  </si>
  <si>
    <t>D0550305</t>
  </si>
  <si>
    <t>Insurance date</t>
  </si>
  <si>
    <t>D0550400</t>
  </si>
  <si>
    <t>Asset Valuation</t>
  </si>
  <si>
    <t>D0550401</t>
  </si>
  <si>
    <t>Acquisition cost</t>
  </si>
  <si>
    <t>D0550402</t>
  </si>
  <si>
    <t>Depreciation</t>
  </si>
  <si>
    <t>D0550403</t>
  </si>
  <si>
    <t>Write down adjustment</t>
  </si>
  <si>
    <t>D0550404</t>
  </si>
  <si>
    <t>Sale disposal</t>
  </si>
  <si>
    <t>D0550405</t>
  </si>
  <si>
    <t>Net book value</t>
  </si>
  <si>
    <t>D0550500</t>
  </si>
  <si>
    <t>Donor</t>
  </si>
  <si>
    <t>D0550501</t>
  </si>
  <si>
    <t>D0550502</t>
  </si>
  <si>
    <t>Asset Transaction</t>
  </si>
  <si>
    <t>For Level 2 Processes 7.3, 7.5, 7.6, 7.7, 7.8, 7.9 and 7.10</t>
  </si>
  <si>
    <t>D0560100</t>
  </si>
  <si>
    <t>Asset Tracking</t>
  </si>
  <si>
    <t>D0560101</t>
  </si>
  <si>
    <t>D0560102</t>
  </si>
  <si>
    <t>D0560103</t>
  </si>
  <si>
    <t>D0560200</t>
  </si>
  <si>
    <t>Asset Loan</t>
  </si>
  <si>
    <t>D0560201</t>
  </si>
  <si>
    <t>D0560202</t>
  </si>
  <si>
    <t>D0560203</t>
  </si>
  <si>
    <t>Return date</t>
  </si>
  <si>
    <t>D0560300</t>
  </si>
  <si>
    <t>Asset Donation</t>
  </si>
  <si>
    <t>D0560301</t>
  </si>
  <si>
    <t>D0560302</t>
  </si>
  <si>
    <t>D0560400</t>
  </si>
  <si>
    <t>Asset Return</t>
  </si>
  <si>
    <t>D0560401</t>
  </si>
  <si>
    <t>D0560402</t>
  </si>
  <si>
    <t>D0560403</t>
  </si>
  <si>
    <t>D0560404</t>
  </si>
  <si>
    <t>D0560500</t>
  </si>
  <si>
    <t>Asset Disposal</t>
  </si>
  <si>
    <t>D0560501</t>
  </si>
  <si>
    <t>D0560502</t>
  </si>
  <si>
    <t>D0560503</t>
  </si>
  <si>
    <t>Disposal date</t>
  </si>
  <si>
    <t>Asset Maintenance Requirements</t>
  </si>
  <si>
    <t>Identifies the asset, inspections required and maintenance dates</t>
  </si>
  <si>
    <t>D0570100</t>
  </si>
  <si>
    <t>D0570101</t>
  </si>
  <si>
    <t>D0570102</t>
  </si>
  <si>
    <t>D0570200</t>
  </si>
  <si>
    <t>Maintenance Detail</t>
  </si>
  <si>
    <t>D0570201</t>
  </si>
  <si>
    <t>D0570202</t>
  </si>
  <si>
    <t>D0570203</t>
  </si>
  <si>
    <t>D0580100</t>
  </si>
  <si>
    <t>D0580101</t>
  </si>
  <si>
    <t>Maintenance Work Order data elements</t>
  </si>
  <si>
    <t>Same as Maintenance Work Order [D0450000]</t>
  </si>
  <si>
    <t>D0580200</t>
  </si>
  <si>
    <t>D0580201</t>
  </si>
  <si>
    <t>D0580300</t>
  </si>
  <si>
    <t>D0580301</t>
  </si>
  <si>
    <t>Delivery Plan Report</t>
  </si>
  <si>
    <t>Output report for Level 2 Process '09.1 Reporting - Planning'</t>
  </si>
  <si>
    <t>D0590100</t>
  </si>
  <si>
    <t>Item Distribution</t>
  </si>
  <si>
    <t>D0590101</t>
  </si>
  <si>
    <t>D0590102</t>
  </si>
  <si>
    <t>D0590103</t>
  </si>
  <si>
    <t>D0590200</t>
  </si>
  <si>
    <t>D0590201</t>
  </si>
  <si>
    <t>D0590202</t>
  </si>
  <si>
    <t>In-country date</t>
  </si>
  <si>
    <t>D0590203</t>
  </si>
  <si>
    <t>D0590300</t>
  </si>
  <si>
    <t>D0590301</t>
  </si>
  <si>
    <t>D0590302</t>
  </si>
  <si>
    <t>D0590400</t>
  </si>
  <si>
    <t>D0590401</t>
  </si>
  <si>
    <t>D0590402</t>
  </si>
  <si>
    <t>Open Purchase Orders</t>
  </si>
  <si>
    <t>Report for all purchase orders not fully received</t>
  </si>
  <si>
    <t>D0600100</t>
  </si>
  <si>
    <t>Open POs Report Header</t>
  </si>
  <si>
    <t>D0600101</t>
  </si>
  <si>
    <t>Report date</t>
  </si>
  <si>
    <t>D0600200</t>
  </si>
  <si>
    <t>Open POs Report Detail</t>
  </si>
  <si>
    <t>D0600201</t>
  </si>
  <si>
    <t>D0600202</t>
  </si>
  <si>
    <t>D0600203</t>
  </si>
  <si>
    <t>D0600204</t>
  </si>
  <si>
    <t>D0600205</t>
  </si>
  <si>
    <t>D0600206</t>
  </si>
  <si>
    <t>Amount delivered</t>
  </si>
  <si>
    <t>D0600207</t>
  </si>
  <si>
    <t>Amount remaining</t>
  </si>
  <si>
    <t>Open Purchase Order Lines</t>
  </si>
  <si>
    <t>Report for all purchase order lines not fully received</t>
  </si>
  <si>
    <t>D0610100</t>
  </si>
  <si>
    <t>Open PO Lines Report Header</t>
  </si>
  <si>
    <t>D0610101</t>
  </si>
  <si>
    <t>D0610200</t>
  </si>
  <si>
    <t>Open PO Lines Report Detail</t>
  </si>
  <si>
    <t>D0610201</t>
  </si>
  <si>
    <t>D0610202</t>
  </si>
  <si>
    <t>D0610203</t>
  </si>
  <si>
    <t>D0610204</t>
  </si>
  <si>
    <t>D0610205</t>
  </si>
  <si>
    <t>D0610206</t>
  </si>
  <si>
    <t>Open quantity</t>
  </si>
  <si>
    <t>Supplier Delivery Performance</t>
  </si>
  <si>
    <t>Supplier on-time delivery performance</t>
  </si>
  <si>
    <t>D0620100</t>
  </si>
  <si>
    <t>Supplier Delivery Performance Report Header</t>
  </si>
  <si>
    <t>D0620101</t>
  </si>
  <si>
    <t>D0620102</t>
  </si>
  <si>
    <t>D0620103</t>
  </si>
  <si>
    <t>D0620200</t>
  </si>
  <si>
    <t>Supplier Deliver Performance Report Detail</t>
  </si>
  <si>
    <t>D0620201</t>
  </si>
  <si>
    <t>D0620202</t>
  </si>
  <si>
    <t>D0620203</t>
  </si>
  <si>
    <t>Ordered quantity</t>
  </si>
  <si>
    <t>D0620204</t>
  </si>
  <si>
    <t>Delivered quantity</t>
  </si>
  <si>
    <t>D0620205</t>
  </si>
  <si>
    <t>D0620206</t>
  </si>
  <si>
    <t>Actual delivery date</t>
  </si>
  <si>
    <t>Supplier/Item Report</t>
  </si>
  <si>
    <t>Purchase item, quantity and amount by vendor</t>
  </si>
  <si>
    <t>D0630100</t>
  </si>
  <si>
    <t>Supplier/Item Report Header</t>
  </si>
  <si>
    <t>D0630101</t>
  </si>
  <si>
    <t>D0630102</t>
  </si>
  <si>
    <t>D0630103</t>
  </si>
  <si>
    <t>D0630104</t>
  </si>
  <si>
    <t>D0630105</t>
  </si>
  <si>
    <t>D0630200</t>
  </si>
  <si>
    <t>Supplier/Item Report Detail</t>
  </si>
  <si>
    <t>D0630201</t>
  </si>
  <si>
    <t>D0630202</t>
  </si>
  <si>
    <t>D0630203</t>
  </si>
  <si>
    <t>D0630204</t>
  </si>
  <si>
    <t>Item/Supplier Report</t>
  </si>
  <si>
    <t>Purchase vendor, quantity and amount by item</t>
  </si>
  <si>
    <t>D0640100</t>
  </si>
  <si>
    <t>Item/Supplier Report Header</t>
  </si>
  <si>
    <t>D0640101</t>
  </si>
  <si>
    <t>D0640102</t>
  </si>
  <si>
    <t>D0640103</t>
  </si>
  <si>
    <t>D0640200</t>
  </si>
  <si>
    <t>Item/Supplier Report Detail</t>
  </si>
  <si>
    <t>D0640201</t>
  </si>
  <si>
    <t>D0640202</t>
  </si>
  <si>
    <t>D0640203</t>
  </si>
  <si>
    <t>D0640204</t>
  </si>
  <si>
    <t>D0640205</t>
  </si>
  <si>
    <t>D0640206</t>
  </si>
  <si>
    <t>Same as Stock Summary Report [D0360000]</t>
  </si>
  <si>
    <t>D0650100</t>
  </si>
  <si>
    <t>Stock Summary Report Detail</t>
  </si>
  <si>
    <t>D0650101</t>
  </si>
  <si>
    <t>D0650102</t>
  </si>
  <si>
    <t>D0650103</t>
  </si>
  <si>
    <t>D0650104</t>
  </si>
  <si>
    <t>D0650105</t>
  </si>
  <si>
    <t>Stock Summary by Location</t>
  </si>
  <si>
    <t>Stock quantity in each warehouse location</t>
  </si>
  <si>
    <t>D0660100</t>
  </si>
  <si>
    <t>Stock Summary by Location Detail</t>
  </si>
  <si>
    <t>D0660101</t>
  </si>
  <si>
    <t>D0660102</t>
  </si>
  <si>
    <t>D0660103</t>
  </si>
  <si>
    <t>D0660104</t>
  </si>
  <si>
    <t>D0660105</t>
  </si>
  <si>
    <t>D0660106</t>
  </si>
  <si>
    <t>Aisle-Rack-Shelf-Bin</t>
  </si>
  <si>
    <t>D0660107</t>
  </si>
  <si>
    <t>If applicable</t>
  </si>
  <si>
    <t>D0660108</t>
  </si>
  <si>
    <t>Stock Value Report</t>
  </si>
  <si>
    <t>Value of all stock on-hand</t>
  </si>
  <si>
    <t>D0670100</t>
  </si>
  <si>
    <t>Stock Value Report Detail</t>
  </si>
  <si>
    <t>D0670101</t>
  </si>
  <si>
    <t>D0670102</t>
  </si>
  <si>
    <t>D0670103</t>
  </si>
  <si>
    <t>D0670104</t>
  </si>
  <si>
    <t>D0670105</t>
  </si>
  <si>
    <t>D0670106</t>
  </si>
  <si>
    <t>Inventory value</t>
  </si>
  <si>
    <t>Stock Expiration Report</t>
  </si>
  <si>
    <t>Shows expiration dates for inventory with shelf-life tracking</t>
  </si>
  <si>
    <t>D0680100</t>
  </si>
  <si>
    <t>Stock Expiration Report Header</t>
  </si>
  <si>
    <t>D0680101</t>
  </si>
  <si>
    <t>D0680102</t>
  </si>
  <si>
    <t>D0680200</t>
  </si>
  <si>
    <t>Stock Expiration Report Detail</t>
  </si>
  <si>
    <t>D0680201</t>
  </si>
  <si>
    <t>D0680202</t>
  </si>
  <si>
    <t>D0680203</t>
  </si>
  <si>
    <t>D0680204</t>
  </si>
  <si>
    <t>Asset Register Report</t>
  </si>
  <si>
    <t>Listing of all recorded assets</t>
  </si>
  <si>
    <t>D0690100</t>
  </si>
  <si>
    <t>Asset Register Report Header</t>
  </si>
  <si>
    <t>D0690101</t>
  </si>
  <si>
    <t>D0690200</t>
  </si>
  <si>
    <t>Asset Register Report Detail</t>
  </si>
  <si>
    <t>D0690201</t>
  </si>
  <si>
    <t>D0690202</t>
  </si>
  <si>
    <t>D0690203</t>
  </si>
  <si>
    <t>In-service date</t>
  </si>
  <si>
    <t>Asset Tracking Report</t>
  </si>
  <si>
    <t>Current location for all assets</t>
  </si>
  <si>
    <t>D0700100</t>
  </si>
  <si>
    <t>D0700101</t>
  </si>
  <si>
    <t>D0700200</t>
  </si>
  <si>
    <t>D0700201</t>
  </si>
  <si>
    <t>D0700202</t>
  </si>
  <si>
    <t>D0700203</t>
  </si>
  <si>
    <t>Asset location</t>
  </si>
  <si>
    <t>D0700204</t>
  </si>
  <si>
    <t>Purchase date</t>
  </si>
  <si>
    <t>D0700205</t>
  </si>
  <si>
    <t>Purchase value</t>
  </si>
  <si>
    <t>D0700206</t>
  </si>
  <si>
    <t>D0700207</t>
  </si>
  <si>
    <t>D0700208</t>
  </si>
  <si>
    <t>Depreciated value</t>
  </si>
  <si>
    <t>D0700209</t>
  </si>
  <si>
    <t>Donor master data</t>
  </si>
  <si>
    <t>D0710100</t>
  </si>
  <si>
    <t>Donor General</t>
  </si>
  <si>
    <t>D0710101</t>
  </si>
  <si>
    <t>D0710102</t>
  </si>
  <si>
    <t>D0710200</t>
  </si>
  <si>
    <t>D0710201</t>
  </si>
  <si>
    <t>D0710300</t>
  </si>
  <si>
    <t>D0710301</t>
  </si>
  <si>
    <t>D0710302</t>
  </si>
  <si>
    <t>Donor Report</t>
  </si>
  <si>
    <t>D0720100</t>
  </si>
  <si>
    <t>D0720101</t>
  </si>
  <si>
    <t>D0720102</t>
  </si>
  <si>
    <t>D0720103</t>
  </si>
  <si>
    <t>D0720200</t>
  </si>
  <si>
    <t>Donation Detail</t>
  </si>
  <si>
    <t>D0720201</t>
  </si>
  <si>
    <t>Donation date</t>
  </si>
  <si>
    <t>D0720202</t>
  </si>
  <si>
    <t>Donation amount</t>
  </si>
  <si>
    <t>D0720300</t>
  </si>
  <si>
    <t>Donor PO Line Tracking</t>
  </si>
  <si>
    <t>Donor fund identification for each line purchased with specified Donor fund</t>
  </si>
  <si>
    <t>D0720301</t>
  </si>
  <si>
    <t>D0720302</t>
  </si>
  <si>
    <t>D0720303</t>
  </si>
  <si>
    <t>D0720304</t>
  </si>
  <si>
    <t>D0720400</t>
  </si>
  <si>
    <t>Item lot number tracking data</t>
  </si>
  <si>
    <t>D0720401</t>
  </si>
  <si>
    <t>D0720402</t>
  </si>
  <si>
    <t>D0720500</t>
  </si>
  <si>
    <t>Donor Asset Tracking</t>
  </si>
  <si>
    <t>Detailed data for complete donor asset tracking</t>
  </si>
  <si>
    <t>D0720501</t>
  </si>
  <si>
    <t>D0720502</t>
  </si>
  <si>
    <t>Budget line</t>
  </si>
  <si>
    <t>D0720503</t>
  </si>
  <si>
    <t>Date purchased</t>
  </si>
  <si>
    <t>D0720504</t>
  </si>
  <si>
    <t>D0720505</t>
  </si>
  <si>
    <t>D0720506</t>
  </si>
  <si>
    <t>D0720507</t>
  </si>
  <si>
    <t>Donor Procurement Tracking</t>
  </si>
  <si>
    <t>Transactions and data for tracking all procurements related to a Donor</t>
  </si>
  <si>
    <t>D0730100</t>
  </si>
  <si>
    <t>D0730101</t>
  </si>
  <si>
    <t>Purchase order header data</t>
  </si>
  <si>
    <t>Same as Purchase order [D0110000]</t>
  </si>
  <si>
    <t>D0730200</t>
  </si>
  <si>
    <t>D0730201</t>
  </si>
  <si>
    <t>Purchase order line data</t>
  </si>
  <si>
    <t>D0730300</t>
  </si>
  <si>
    <t>D0730301</t>
  </si>
  <si>
    <t>Link Donor ID to PO lines enables detailed tracing</t>
  </si>
  <si>
    <t>Donor Warehouse Tracking</t>
  </si>
  <si>
    <t>Transactions and data for tracking all current inventory related to a Donor</t>
  </si>
  <si>
    <t>D0740100</t>
  </si>
  <si>
    <t>D0740101</t>
  </si>
  <si>
    <t>D0740200</t>
  </si>
  <si>
    <t>D0740201</t>
  </si>
  <si>
    <t>D0740300</t>
  </si>
  <si>
    <t>D0740301</t>
  </si>
  <si>
    <t>D0740302</t>
  </si>
  <si>
    <t>D0740400</t>
  </si>
  <si>
    <t>Stock Location Detail</t>
  </si>
  <si>
    <t>Warehouse location detail for stock on-hand</t>
  </si>
  <si>
    <t>D0740401</t>
  </si>
  <si>
    <t>D0740402</t>
  </si>
  <si>
    <t>Warehouse location Id</t>
  </si>
  <si>
    <t>Donor Beneficiary Distribution Tracking</t>
  </si>
  <si>
    <t>Transactions and data for tracking beneficiary distributions related to a Donor</t>
  </si>
  <si>
    <t>D0750100</t>
  </si>
  <si>
    <t>D0750101</t>
  </si>
  <si>
    <t>D0750200</t>
  </si>
  <si>
    <t>D0750201</t>
  </si>
  <si>
    <t>D0750300</t>
  </si>
  <si>
    <t>D0750301</t>
  </si>
  <si>
    <t>D0750302</t>
  </si>
  <si>
    <t>D0750400</t>
  </si>
  <si>
    <t>Stock Transfer Detail</t>
  </si>
  <si>
    <t>External transfer(s) with item lot tracing data</t>
  </si>
  <si>
    <t>D0750401</t>
  </si>
  <si>
    <t>D0750402</t>
  </si>
  <si>
    <t>D0750403</t>
  </si>
  <si>
    <t>D0750500</t>
  </si>
  <si>
    <t>Distribution Detail</t>
  </si>
  <si>
    <t>Final field location issue transaction data</t>
  </si>
  <si>
    <t>D0750501</t>
  </si>
  <si>
    <t>D0750502</t>
  </si>
  <si>
    <t>D0750503</t>
  </si>
  <si>
    <t>D0750504</t>
  </si>
  <si>
    <t>Donor Procurement Tracking Report</t>
  </si>
  <si>
    <t>Report identifying all purchases including quantity and amount with Donor-tracked funds</t>
  </si>
  <si>
    <t>D0760100</t>
  </si>
  <si>
    <t>D0760101</t>
  </si>
  <si>
    <t>D0760102</t>
  </si>
  <si>
    <t>D0760103</t>
  </si>
  <si>
    <t>D0760200</t>
  </si>
  <si>
    <t>D0760201</t>
  </si>
  <si>
    <t>D0760202</t>
  </si>
  <si>
    <t>D0760300</t>
  </si>
  <si>
    <t>D0760301</t>
  </si>
  <si>
    <t>D0760400</t>
  </si>
  <si>
    <t>D0760401</t>
  </si>
  <si>
    <t>D0760500</t>
  </si>
  <si>
    <t>D0760501</t>
  </si>
  <si>
    <t>Donor Warehouse Tracking Report</t>
  </si>
  <si>
    <t>Report identifying quantity and amount of items purchased with Donor-tracked funds</t>
  </si>
  <si>
    <t>D0770100</t>
  </si>
  <si>
    <t>D0770101</t>
  </si>
  <si>
    <t>D0770102</t>
  </si>
  <si>
    <t>D0770103</t>
  </si>
  <si>
    <t>D0770200</t>
  </si>
  <si>
    <t>D0770201</t>
  </si>
  <si>
    <t>D0770202</t>
  </si>
  <si>
    <t>D0770300</t>
  </si>
  <si>
    <t>D0770301</t>
  </si>
  <si>
    <t>D0770400</t>
  </si>
  <si>
    <t>D0770401</t>
  </si>
  <si>
    <t>D0770500</t>
  </si>
  <si>
    <t>D0770501</t>
  </si>
  <si>
    <t>D0770502</t>
  </si>
  <si>
    <t>D0770600</t>
  </si>
  <si>
    <t>D0770601</t>
  </si>
  <si>
    <t>D0770602</t>
  </si>
  <si>
    <t>Donor Distribution Tracking Report</t>
  </si>
  <si>
    <t>Report identifying all final field location distributions of items linked to specific donor funds</t>
  </si>
  <si>
    <t>D0780100</t>
  </si>
  <si>
    <t>D0780101</t>
  </si>
  <si>
    <t>D0780102</t>
  </si>
  <si>
    <t>D0780103</t>
  </si>
  <si>
    <t>D0780200</t>
  </si>
  <si>
    <t>D0780201</t>
  </si>
  <si>
    <t>D0780202</t>
  </si>
  <si>
    <t>D0780300</t>
  </si>
  <si>
    <t>D0780301</t>
  </si>
  <si>
    <t>D0780400</t>
  </si>
  <si>
    <t>D0780401</t>
  </si>
  <si>
    <t>D0780500</t>
  </si>
  <si>
    <t>D0780501</t>
  </si>
  <si>
    <t>D0780502</t>
  </si>
  <si>
    <t>D0780600</t>
  </si>
  <si>
    <t>D0780601</t>
  </si>
  <si>
    <t>D0780602</t>
  </si>
  <si>
    <t>D0780603</t>
  </si>
  <si>
    <t>D0780700</t>
  </si>
  <si>
    <t>D0780701</t>
  </si>
  <si>
    <t>D0780702</t>
  </si>
  <si>
    <t>D0780703</t>
  </si>
  <si>
    <t>D0780704</t>
  </si>
  <si>
    <t>Consortium Procurement Tracking</t>
  </si>
  <si>
    <t>Transactions and data for tracking all procurements related to a Consortium</t>
  </si>
  <si>
    <t>D0790100</t>
  </si>
  <si>
    <t>D0790101</t>
  </si>
  <si>
    <t>D0790200</t>
  </si>
  <si>
    <t>D0790201</t>
  </si>
  <si>
    <t>D0790300</t>
  </si>
  <si>
    <t>Consortium PO Line Tracking</t>
  </si>
  <si>
    <t>D0790301</t>
  </si>
  <si>
    <t>Link Donor ID to PO lines enables detailed tracing, Consortium is a different type of donor, data model remains same</t>
  </si>
  <si>
    <t>Consortium Beneficiary Distribution Tracking</t>
  </si>
  <si>
    <t>Transactions and data for tracking all current inventory related to a Consortium</t>
  </si>
  <si>
    <t>D0800100</t>
  </si>
  <si>
    <t>Consortium fund identification for each line purchased with specified Consortium fund</t>
  </si>
  <si>
    <t>D0800101</t>
  </si>
  <si>
    <t>D0800200</t>
  </si>
  <si>
    <t>D0800201</t>
  </si>
  <si>
    <t>D0800300</t>
  </si>
  <si>
    <t>D0800301</t>
  </si>
  <si>
    <t>D0800302</t>
  </si>
  <si>
    <t>D0800400</t>
  </si>
  <si>
    <t>D0800401</t>
  </si>
  <si>
    <t>D0800402</t>
  </si>
  <si>
    <t>D0800403</t>
  </si>
  <si>
    <t>D0800500</t>
  </si>
  <si>
    <t>D0800501</t>
  </si>
  <si>
    <t>D0800502</t>
  </si>
  <si>
    <t>D0800503</t>
  </si>
  <si>
    <t>D0800504</t>
  </si>
  <si>
    <t>Consortium Partner Distribution Tracking</t>
  </si>
  <si>
    <t>Transactions and data for tracking beneficiary distributions related to a Consortium</t>
  </si>
  <si>
    <t>D0810100</t>
  </si>
  <si>
    <t>D0810101</t>
  </si>
  <si>
    <t>D0810200</t>
  </si>
  <si>
    <t>D0810201</t>
  </si>
  <si>
    <t>D0810300</t>
  </si>
  <si>
    <t>D0810301</t>
  </si>
  <si>
    <t>D0810302</t>
  </si>
  <si>
    <t>D0810400</t>
  </si>
  <si>
    <t>D0810401</t>
  </si>
  <si>
    <t>For movements to internal warehouse</t>
  </si>
  <si>
    <t>D0810402</t>
  </si>
  <si>
    <t>D0810403</t>
  </si>
  <si>
    <t>D0810500</t>
  </si>
  <si>
    <t>Partner Inventory Transaction Tracking</t>
  </si>
  <si>
    <t>Field on inventory transaction for tracking when inventory adjusted out to send to partner</t>
  </si>
  <si>
    <t>D0810501</t>
  </si>
  <si>
    <t>Link to Donor ID, Consortium is different type of donor, data model remains same</t>
  </si>
  <si>
    <t>Consortium Reporting</t>
  </si>
  <si>
    <t>Same data as Donor Report [D0720000], Consortium is different type of donor</t>
  </si>
  <si>
    <t>D0820100</t>
  </si>
  <si>
    <t>Consortium Reporting Entities</t>
  </si>
  <si>
    <t>D0820101</t>
  </si>
  <si>
    <t>Consortium Reporting Elements</t>
  </si>
  <si>
    <t>Summary of Data Items Levels 1, 2 and 3 and Process Levels 1 and 2</t>
  </si>
  <si>
    <t>Data Groups (DL1)</t>
  </si>
  <si>
    <t>Data Entities (DL2)</t>
  </si>
  <si>
    <t>Data Elements (DL3)</t>
  </si>
  <si>
    <t>Process Groups (PL1)</t>
  </si>
  <si>
    <t>Process Category/ Variant (PL2)</t>
  </si>
  <si>
    <t>DL3 ID</t>
  </si>
  <si>
    <t>DL1 Data Group</t>
  </si>
  <si>
    <t>DL1 Data Group Description</t>
  </si>
  <si>
    <t>DL2 Data Entity</t>
  </si>
  <si>
    <t>DL2 Data Entity Description</t>
  </si>
  <si>
    <t>DL3 Data Element</t>
  </si>
  <si>
    <t>DL3 Data Element Description</t>
  </si>
  <si>
    <t>01 Supply and Logistics Planning</t>
  </si>
  <si>
    <t>Delivery Team Note: All other data is same as Section 2a Procurement of goods</t>
  </si>
  <si>
    <t>06.01 Return to supplier
06.02 Return received loan to owner</t>
  </si>
  <si>
    <t>Data Item Level</t>
  </si>
  <si>
    <t>Thesaurus Relationship Type</t>
  </si>
  <si>
    <t>Broader Term</t>
  </si>
  <si>
    <t>Related Term</t>
  </si>
  <si>
    <t>N/A</t>
  </si>
  <si>
    <t>Mapping</t>
  </si>
  <si>
    <t>Target(s)</t>
  </si>
  <si>
    <t>Supply Chain</t>
  </si>
  <si>
    <t>TBC</t>
  </si>
  <si>
    <t>Cross Platform</t>
  </si>
  <si>
    <t>Attribute Label</t>
  </si>
  <si>
    <t>Comments</t>
  </si>
  <si>
    <t>Confidence</t>
  </si>
  <si>
    <t>Multiple name attributes</t>
  </si>
  <si>
    <t>Multiple email attributes</t>
  </si>
  <si>
    <t>Mobile Phone</t>
  </si>
  <si>
    <t>Account</t>
  </si>
  <si>
    <t>Multiple</t>
  </si>
  <si>
    <t>API Name</t>
  </si>
  <si>
    <t>mobilePhone</t>
  </si>
  <si>
    <t>EMailAddress1</t>
  </si>
  <si>
    <t>customerAddressId</t>
  </si>
  <si>
    <t>Address Name</t>
  </si>
  <si>
    <t>name</t>
  </si>
  <si>
    <t>Address Type</t>
  </si>
  <si>
    <t>addressTypeCode</t>
  </si>
  <si>
    <t>Country/Region</t>
  </si>
  <si>
    <t>country</t>
  </si>
  <si>
    <t>ZIP/Postal Code</t>
  </si>
  <si>
    <t>postalCode</t>
  </si>
  <si>
    <t>Street 1</t>
  </si>
  <si>
    <t>line1</t>
  </si>
  <si>
    <t>Note there are three lines (line1,2,3)</t>
  </si>
  <si>
    <t>State/Province</t>
  </si>
  <si>
    <t>stateOrProvince</t>
  </si>
  <si>
    <t>latitude</t>
  </si>
  <si>
    <t>longitude</t>
  </si>
  <si>
    <t>County</t>
  </si>
  <si>
    <t>county</t>
  </si>
  <si>
    <t>transactionCurrencyId</t>
  </si>
  <si>
    <t>Common Data Model for Nonprofits &amp; Nonprofit Accelerator</t>
  </si>
  <si>
    <t>CDM</t>
  </si>
  <si>
    <t>Customer</t>
  </si>
  <si>
    <t>customerID</t>
  </si>
  <si>
    <t>languageId</t>
  </si>
  <si>
    <t>Primary language for the Account</t>
  </si>
  <si>
    <t>Supplier Status</t>
  </si>
  <si>
    <t>supplierStatus</t>
  </si>
  <si>
    <t>Add Solution</t>
  </si>
  <si>
    <t>Supplier Number</t>
  </si>
  <si>
    <t>supplierNumber</t>
  </si>
  <si>
    <t>Unique number for Supplier</t>
  </si>
  <si>
    <t>Status for Supplier</t>
  </si>
  <si>
    <t>Common Data Model for Nonprofits + FHL Model</t>
  </si>
  <si>
    <t>Donor, Donation, Program Delivery sourced from CDM for Nonprofits</t>
  </si>
  <si>
    <t>CDM NFP</t>
  </si>
  <si>
    <t>CDM NFP, Supply Chain</t>
  </si>
  <si>
    <t>Finance</t>
  </si>
  <si>
    <t>Account/Contact</t>
  </si>
  <si>
    <t>Donor may be an individual, household and/or organization</t>
  </si>
  <si>
    <t>CRM</t>
  </si>
  <si>
    <t>Operation
Delivery Framework</t>
  </si>
  <si>
    <t>Delivery Date</t>
  </si>
  <si>
    <t>quantity</t>
  </si>
  <si>
    <t>description</t>
  </si>
  <si>
    <t>deliveryDate</t>
  </si>
  <si>
    <t>Supplier is an entity in CDM which is an Account or a Contact</t>
  </si>
  <si>
    <t>msnfp_operation
msnfp_deliveryframework</t>
  </si>
  <si>
    <t>Number</t>
  </si>
  <si>
    <t>number</t>
  </si>
  <si>
    <t>Completion Date</t>
  </si>
  <si>
    <t>completionDate</t>
  </si>
  <si>
    <t>Work Item</t>
  </si>
  <si>
    <t>Reference link to Need (msnfp_need) if required</t>
  </si>
  <si>
    <t>Program is a unit of work which is a Delivery Framework or Operation in CDM. Service Delivery exists in CDM as Work Item, Work Item Action &amp; Need.</t>
  </si>
  <si>
    <t>Purchasing Category</t>
  </si>
  <si>
    <t>purchasingCategory</t>
  </si>
  <si>
    <t>Dynamics 365</t>
  </si>
  <si>
    <t>Adress Name</t>
  </si>
  <si>
    <t>Addres Name</t>
  </si>
  <si>
    <t>Dynamics 365 Asset Management</t>
  </si>
  <si>
    <t>Functoinal Locations</t>
  </si>
  <si>
    <t>Address details</t>
  </si>
  <si>
    <t>Time Zone</t>
  </si>
  <si>
    <t>timezone</t>
  </si>
  <si>
    <t>status</t>
  </si>
  <si>
    <t>Item Name</t>
  </si>
  <si>
    <t>Item Number</t>
  </si>
  <si>
    <t>Item Code</t>
  </si>
  <si>
    <t>itemCode</t>
  </si>
  <si>
    <t>itemName</t>
  </si>
  <si>
    <t>itemNumber</t>
  </si>
  <si>
    <t>item</t>
  </si>
  <si>
    <t>Contact or Account</t>
  </si>
  <si>
    <t>Donor Commitment</t>
  </si>
  <si>
    <t>donorCommitmentId</t>
  </si>
  <si>
    <t>Book Date</t>
  </si>
  <si>
    <t>bookDate</t>
  </si>
  <si>
    <t>amount</t>
  </si>
  <si>
    <t>Total Amount</t>
  </si>
  <si>
    <t>totalAmount</t>
  </si>
  <si>
    <t>Designation Plan</t>
  </si>
  <si>
    <t>designationPlanId</t>
  </si>
  <si>
    <t>Payment Asset</t>
  </si>
  <si>
    <t>paymentAssetId</t>
  </si>
  <si>
    <t>Depreciated Value</t>
  </si>
  <si>
    <t>depreciatedValue</t>
  </si>
  <si>
    <t>Date Purchased</t>
  </si>
  <si>
    <t>datePurchased</t>
  </si>
  <si>
    <t>Budget Line</t>
  </si>
  <si>
    <t>budgetLine</t>
  </si>
  <si>
    <t>address</t>
  </si>
  <si>
    <t xml:space="preserve">CDM </t>
  </si>
  <si>
    <t>Utilize Stage to track request on Donor Commitment.</t>
  </si>
  <si>
    <t>addressId</t>
  </si>
  <si>
    <t>Transaction Currency</t>
  </si>
  <si>
    <t>Currency Name</t>
  </si>
  <si>
    <t>Recommend including Currency Symbol</t>
  </si>
  <si>
    <t>Exchange Rate</t>
  </si>
  <si>
    <t>exchangeRate</t>
  </si>
  <si>
    <t>Calculated based on associated currency and date</t>
  </si>
  <si>
    <t>Asset Management</t>
  </si>
  <si>
    <t>Dynamics 365 Supply Chain</t>
  </si>
  <si>
    <t>Wareshouse</t>
  </si>
  <si>
    <t>warehouse</t>
  </si>
  <si>
    <t>Warehoulse</t>
  </si>
  <si>
    <t>Wareshouse ID</t>
  </si>
  <si>
    <t>warehouseId</t>
  </si>
  <si>
    <t>On Loan</t>
  </si>
  <si>
    <t>onLoan</t>
  </si>
  <si>
    <t>Linked from Payment Asset, including NFP CDM Payment Asset Extensions below</t>
  </si>
  <si>
    <t>Payment Asset Category</t>
  </si>
  <si>
    <t>paymentAssetCategory</t>
  </si>
  <si>
    <t>Asset Type</t>
  </si>
  <si>
    <t>assetType</t>
  </si>
  <si>
    <t>Serial Number</t>
  </si>
  <si>
    <t>serialNumber</t>
  </si>
  <si>
    <t>projectID</t>
  </si>
  <si>
    <t>Donor is linked through associated Donor Commitment</t>
  </si>
  <si>
    <t>Dynamics 365 Finance</t>
  </si>
  <si>
    <t>Link through Designation to Budget (via Connection)</t>
  </si>
  <si>
    <t>Link through Designation to Delivery Framework (via Connection)</t>
  </si>
  <si>
    <t>Dynamics 365: Supply Chain - Procurement</t>
  </si>
  <si>
    <t>Invoices</t>
  </si>
  <si>
    <t>Purchasing Policies</t>
  </si>
  <si>
    <t>Request for Quotation</t>
  </si>
  <si>
    <t>Dynamics 365: Supply Chain - Inventory</t>
  </si>
  <si>
    <t>Business Phone</t>
  </si>
  <si>
    <t>telephone1</t>
  </si>
  <si>
    <t>Or consider mobilePhone</t>
  </si>
  <si>
    <t>Email</t>
  </si>
  <si>
    <t>emailAddress1</t>
  </si>
  <si>
    <t>Award</t>
  </si>
  <si>
    <t>Recommended Supplier</t>
  </si>
  <si>
    <t>recommendedSupplier</t>
  </si>
  <si>
    <t>Total Award Percentage</t>
  </si>
  <si>
    <t>totalAwardPercentage</t>
  </si>
  <si>
    <t>justification</t>
  </si>
  <si>
    <t>Total Contract Award Value</t>
  </si>
  <si>
    <t>totalContractAwardValue</t>
  </si>
  <si>
    <t>May relate to Item</t>
  </si>
  <si>
    <t>designationPlan</t>
  </si>
  <si>
    <t>itemQuantity</t>
  </si>
  <si>
    <t>accountNumber</t>
  </si>
  <si>
    <t>Account Name</t>
  </si>
  <si>
    <t>Account Number</t>
  </si>
  <si>
    <t>Award Amount</t>
  </si>
  <si>
    <t>awardAmount</t>
  </si>
  <si>
    <t>Item Request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</si>
</sst>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9" x14ac:knownFonts="1">
    <font>
      <sz val="10"/>
      <color theme="1"/>
      <name val="Arial"/>
      <family val="2"/>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0"/>
      <color theme="1"/>
      <name val="Arial"/>
      <family val="2"/>
    </font>
    <font>
      <sz val="12"/>
      <name val="Times New Roman"/>
      <family val="1"/>
    </font>
    <font>
      <b/>
      <sz val="26"/>
      <color theme="0"/>
      <name val="Arial"/>
      <family val="2"/>
    </font>
    <font>
      <i/>
      <sz val="10"/>
      <color theme="1"/>
      <name val="Arial"/>
      <family val="2"/>
    </font>
    <font>
      <sz val="12"/>
      <color theme="1"/>
      <name val="Arial"/>
      <family val="2"/>
    </font>
    <font>
      <b/>
      <sz val="10"/>
      <color theme="0"/>
      <name val="Arial"/>
      <family val="2"/>
    </font>
    <font>
      <b/>
      <sz val="10"/>
      <color rgb="FF000000"/>
      <name val="Arial"/>
      <family val="2"/>
    </font>
    <font>
      <i/>
      <sz val="10"/>
      <name val="Arial"/>
      <family val="2"/>
    </font>
    <font>
      <strike/>
      <sz val="10"/>
      <name val="Arial"/>
      <family val="2"/>
    </font>
    <font>
      <b/>
      <sz val="9"/>
      <color indexed="81"/>
      <name val="Tahoma"/>
      <family val="2"/>
    </font>
    <font>
      <sz val="9"/>
      <color indexed="81"/>
      <name val="Tahoma"/>
      <family val="2"/>
    </font>
    <font>
      <b/>
      <sz val="26"/>
      <name val="Arial"/>
      <family val="2"/>
    </font>
    <font>
      <b/>
      <sz val="16"/>
      <color theme="0"/>
      <name val="Arial"/>
      <family val="2"/>
    </font>
    <font>
      <b/>
      <sz val="16"/>
      <name val="Arial"/>
      <family val="2"/>
    </font>
    <font>
      <sz val="16"/>
      <color theme="1"/>
      <name val="Arial"/>
      <family val="2"/>
    </font>
    <font>
      <sz val="12"/>
      <color theme="1"/>
      <name val="Calibri"/>
      <family val="2"/>
      <scheme val="minor"/>
    </font>
    <font>
      <sz val="12"/>
      <color rgb="FFFF0000"/>
      <name val="Calibri"/>
      <family val="2"/>
      <scheme val="minor"/>
    </font>
    <font>
      <b/>
      <sz val="12"/>
      <color rgb="FFFF0000"/>
      <name val="Calibri"/>
      <family val="2"/>
      <scheme val="minor"/>
    </font>
    <font>
      <b/>
      <sz val="16"/>
      <color theme="1"/>
      <name val="Calibri"/>
      <family val="2"/>
      <scheme val="minor"/>
    </font>
    <font>
      <b/>
      <sz val="12"/>
      <color theme="1"/>
      <name val="Calibri"/>
      <family val="2"/>
      <scheme val="minor"/>
    </font>
    <font>
      <b/>
      <sz val="14"/>
      <color theme="1"/>
      <name val="Calibri"/>
      <family val="2"/>
      <scheme val="minor"/>
    </font>
    <font>
      <i/>
      <sz val="12"/>
      <color theme="1"/>
      <name val="Calibri"/>
      <family val="2"/>
      <scheme val="minor"/>
    </font>
    <font>
      <b/>
      <sz val="12"/>
      <color theme="0"/>
      <name val="Arial"/>
      <family val="2"/>
    </font>
  </fonts>
  <fills count="23">
    <fill>
      <patternFill patternType="none"/>
    </fill>
    <fill>
      <patternFill patternType="gray125"/>
    </fill>
    <fill>
      <patternFill patternType="solid">
        <fgColor indexed="22"/>
        <bgColor indexed="64"/>
      </patternFill>
    </fill>
    <fill>
      <patternFill patternType="solid">
        <fgColor theme="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6" tint="0.39997558519241921"/>
        <bgColor indexed="64"/>
      </patternFill>
    </fill>
    <fill>
      <patternFill patternType="solid">
        <fgColor theme="4" tint="0.79998168889431442"/>
        <bgColor indexed="64"/>
      </patternFill>
    </fill>
    <fill>
      <patternFill patternType="solid">
        <fgColor theme="8"/>
        <bgColor indexed="64"/>
      </patternFill>
    </fill>
    <fill>
      <patternFill patternType="solid">
        <fgColor rgb="FFFFC000"/>
        <bgColor indexed="64"/>
      </patternFill>
    </fill>
    <fill>
      <patternFill patternType="solid">
        <fgColor rgb="FF00B0F0"/>
        <bgColor indexed="64"/>
      </patternFill>
    </fill>
    <fill>
      <patternFill patternType="solid">
        <fgColor rgb="FF7030A0"/>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0"/>
        <bgColor rgb="FF000000"/>
      </patternFill>
    </fill>
    <fill>
      <patternFill patternType="lightUp">
        <bgColor theme="0" tint="-0.14996795556505021"/>
      </patternFill>
    </fill>
    <fill>
      <patternFill patternType="solid">
        <fgColor theme="7" tint="0.79998168889431442"/>
        <bgColor indexed="64"/>
      </patternFill>
    </fill>
    <fill>
      <patternFill patternType="solid">
        <fgColor rgb="FFFFFF00"/>
        <bgColor indexed="64"/>
      </patternFill>
    </fill>
    <fill>
      <patternFill patternType="solid">
        <fgColor rgb="FFFFFF99"/>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rgb="FF002060"/>
        <bgColor indexed="64"/>
      </patternFill>
    </fill>
  </fills>
  <borders count="69">
    <border>
      <left/>
      <right/>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rgb="FF000000"/>
      </top>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theme="0"/>
      </right>
      <top/>
      <bottom style="thin">
        <color rgb="FF000000"/>
      </bottom>
      <diagonal/>
    </border>
    <border>
      <left style="thin">
        <color theme="0"/>
      </left>
      <right/>
      <top style="thin">
        <color rgb="FF000000"/>
      </top>
      <bottom/>
      <diagonal/>
    </border>
    <border>
      <left style="thin">
        <color theme="0"/>
      </left>
      <right/>
      <top style="thick">
        <color theme="0"/>
      </top>
      <bottom/>
      <diagonal/>
    </border>
    <border>
      <left style="thin">
        <color theme="0"/>
      </left>
      <right style="thin">
        <color theme="0"/>
      </right>
      <top style="thick">
        <color theme="0"/>
      </top>
      <bottom/>
      <diagonal/>
    </border>
    <border>
      <left/>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top style="thin">
        <color theme="0"/>
      </top>
      <bottom style="thin">
        <color theme="0"/>
      </bottom>
      <diagonal/>
    </border>
    <border>
      <left style="thin">
        <color theme="0"/>
      </left>
      <right style="thin">
        <color theme="0"/>
      </right>
      <top/>
      <bottom style="thin">
        <color rgb="FFFFFFFF"/>
      </bottom>
      <diagonal/>
    </border>
    <border>
      <left style="thin">
        <color rgb="FFFFFFFF"/>
      </left>
      <right style="thin">
        <color theme="0"/>
      </right>
      <top style="thin">
        <color rgb="FFFFFFFF"/>
      </top>
      <bottom/>
      <diagonal/>
    </border>
    <border>
      <left style="thin">
        <color rgb="FFFFFFFF"/>
      </left>
      <right style="thin">
        <color theme="0"/>
      </right>
      <top/>
      <bottom/>
      <diagonal/>
    </border>
    <border>
      <left style="thin">
        <color theme="0"/>
      </left>
      <right style="thin">
        <color rgb="FFFFFFFF"/>
      </right>
      <top/>
      <bottom/>
      <diagonal/>
    </border>
    <border>
      <left style="thin">
        <color theme="0"/>
      </left>
      <right/>
      <top/>
      <bottom/>
      <diagonal/>
    </border>
    <border>
      <left style="thin">
        <color theme="0"/>
      </left>
      <right style="thin">
        <color rgb="FFFFFFFF"/>
      </right>
      <top style="thin">
        <color theme="0"/>
      </top>
      <bottom/>
      <diagonal/>
    </border>
    <border>
      <left style="thin">
        <color theme="0"/>
      </left>
      <right style="thin">
        <color rgb="FFFFFFFF"/>
      </right>
      <top/>
      <bottom style="thin">
        <color theme="0"/>
      </bottom>
      <diagonal/>
    </border>
    <border>
      <left style="thin">
        <color theme="0"/>
      </left>
      <right style="thin">
        <color rgb="FFFFFFFF"/>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style="thin">
        <color theme="0"/>
      </left>
      <right/>
      <top style="thin">
        <color theme="0"/>
      </top>
      <bottom style="medium">
        <color theme="0"/>
      </bottom>
      <diagonal/>
    </border>
    <border>
      <left style="thin">
        <color theme="0"/>
      </left>
      <right style="thin">
        <color rgb="FFFFFFFF"/>
      </right>
      <top style="thin">
        <color theme="0"/>
      </top>
      <bottom style="medium">
        <color theme="0"/>
      </bottom>
      <diagonal/>
    </border>
    <border>
      <left style="thin">
        <color rgb="FFFFFFFF"/>
      </left>
      <right style="thin">
        <color theme="0"/>
      </right>
      <top/>
      <bottom style="thin">
        <color rgb="FFFFFFFF"/>
      </bottom>
      <diagonal/>
    </border>
    <border>
      <left style="thin">
        <color rgb="FFFFFFFF"/>
      </left>
      <right/>
      <top style="thin">
        <color rgb="FFFFFFFF"/>
      </top>
      <bottom/>
      <diagonal/>
    </border>
    <border>
      <left style="thin">
        <color rgb="FFFFFFFF"/>
      </left>
      <right/>
      <top/>
      <bottom/>
      <diagonal/>
    </border>
    <border>
      <left style="thin">
        <color rgb="FFFFFFFF"/>
      </left>
      <right style="thin">
        <color theme="0"/>
      </right>
      <top style="thin">
        <color theme="0"/>
      </top>
      <bottom/>
      <diagonal/>
    </border>
    <border>
      <left style="thin">
        <color rgb="FFFFFFFF"/>
      </left>
      <right/>
      <top/>
      <bottom style="thin">
        <color rgb="FFFFFFFF"/>
      </bottom>
      <diagonal/>
    </border>
    <border>
      <left style="thin">
        <color rgb="FFFFFFFF"/>
      </left>
      <right style="thin">
        <color rgb="FFFFFFFF"/>
      </right>
      <top style="thin">
        <color rgb="FFFFFFFF"/>
      </top>
      <bottom/>
      <diagonal/>
    </border>
    <border>
      <left style="thin">
        <color rgb="FFFFFFFF"/>
      </left>
      <right style="thin">
        <color rgb="FFFFFFFF"/>
      </right>
      <top/>
      <bottom/>
      <diagonal/>
    </border>
    <border>
      <left style="thin">
        <color rgb="FFFFFFFF"/>
      </left>
      <right style="thin">
        <color theme="0"/>
      </right>
      <top/>
      <bottom style="thin">
        <color theme="0"/>
      </bottom>
      <diagonal/>
    </border>
    <border>
      <left/>
      <right/>
      <top/>
      <bottom style="thin">
        <color rgb="FF000000"/>
      </bottom>
      <diagonal/>
    </border>
    <border>
      <left style="thin">
        <color theme="0"/>
      </left>
      <right style="thin">
        <color theme="0"/>
      </right>
      <top style="thin">
        <color theme="0"/>
      </top>
      <bottom style="thin">
        <color theme="0"/>
      </bottom>
      <diagonal/>
    </border>
    <border>
      <left/>
      <right/>
      <top/>
      <bottom style="thin">
        <color indexed="64"/>
      </bottom>
      <diagonal/>
    </border>
    <border>
      <left style="thin">
        <color theme="0"/>
      </left>
      <right style="thin">
        <color theme="0"/>
      </right>
      <top style="thin">
        <color indexed="64"/>
      </top>
      <bottom style="thick">
        <color theme="0"/>
      </bottom>
      <diagonal/>
    </border>
  </borders>
  <cellStyleXfs count="5">
    <xf numFmtId="0" fontId="0" fillId="0" borderId="0"/>
    <xf numFmtId="0" fontId="7" fillId="0" borderId="0"/>
    <xf numFmtId="0" fontId="3" fillId="0" borderId="0"/>
    <xf numFmtId="0" fontId="2" fillId="0" borderId="0"/>
    <xf numFmtId="0" fontId="1" fillId="0" borderId="0"/>
  </cellStyleXfs>
  <cellXfs count="259">
    <xf numFmtId="0" fontId="0" fillId="0" borderId="0" xfId="0"/>
    <xf numFmtId="9" fontId="3" fillId="0" borderId="1" xfId="0" applyNumberFormat="1" applyFont="1" applyFill="1" applyBorder="1" applyAlignment="1">
      <alignment horizontal="center"/>
    </xf>
    <xf numFmtId="9" fontId="3" fillId="0" borderId="0" xfId="0" applyNumberFormat="1" applyFont="1" applyFill="1" applyBorder="1" applyAlignment="1">
      <alignment horizontal="center"/>
    </xf>
    <xf numFmtId="0" fontId="0" fillId="4" borderId="0" xfId="0" applyFill="1" applyAlignment="1">
      <alignment vertical="center" wrapText="1"/>
    </xf>
    <xf numFmtId="0" fontId="0" fillId="0" borderId="0" xfId="0" applyAlignment="1">
      <alignment vertical="center" wrapText="1"/>
    </xf>
    <xf numFmtId="0" fontId="0" fillId="5" borderId="0" xfId="0" applyFill="1" applyAlignment="1">
      <alignment vertical="center" wrapText="1"/>
    </xf>
    <xf numFmtId="0" fontId="0" fillId="0" borderId="0" xfId="0" applyAlignment="1">
      <alignment horizontal="left" vertical="top" wrapText="1"/>
    </xf>
    <xf numFmtId="0" fontId="0" fillId="3" borderId="0" xfId="0" applyFill="1"/>
    <xf numFmtId="0" fontId="0" fillId="4" borderId="0" xfId="0" applyFill="1" applyAlignment="1">
      <alignment vertical="center"/>
    </xf>
    <xf numFmtId="0" fontId="0" fillId="0" borderId="0" xfId="0" applyAlignment="1">
      <alignment wrapText="1"/>
    </xf>
    <xf numFmtId="0" fontId="0" fillId="0" borderId="0" xfId="0" applyAlignment="1">
      <alignment wrapText="1"/>
    </xf>
    <xf numFmtId="0" fontId="0" fillId="0" borderId="0" xfId="0" applyAlignment="1">
      <alignment horizontal="left" vertical="top"/>
    </xf>
    <xf numFmtId="0" fontId="0" fillId="0" borderId="0" xfId="0" applyFill="1" applyAlignment="1">
      <alignment horizontal="left" vertical="top"/>
    </xf>
    <xf numFmtId="0" fontId="0" fillId="6" borderId="0" xfId="0" applyFill="1" applyAlignment="1">
      <alignment horizontal="left" vertical="top" wrapText="1"/>
    </xf>
    <xf numFmtId="0" fontId="0" fillId="6" borderId="0" xfId="0" applyFill="1" applyAlignment="1">
      <alignment horizontal="left" vertical="top"/>
    </xf>
    <xf numFmtId="0" fontId="0" fillId="6" borderId="0" xfId="0" applyNumberFormat="1" applyFill="1" applyAlignment="1">
      <alignment horizontal="left" vertical="top" wrapText="1"/>
    </xf>
    <xf numFmtId="0" fontId="0" fillId="6" borderId="0" xfId="0" applyNumberFormat="1" applyFill="1" applyAlignment="1">
      <alignment horizontal="left" vertical="top"/>
    </xf>
    <xf numFmtId="0" fontId="0" fillId="4" borderId="0" xfId="0" applyFill="1" applyAlignment="1">
      <alignment horizontal="left" vertical="top" wrapText="1"/>
    </xf>
    <xf numFmtId="0" fontId="0" fillId="0" borderId="0" xfId="0" applyAlignment="1">
      <alignment wrapText="1"/>
    </xf>
    <xf numFmtId="0" fontId="0" fillId="0" borderId="0" xfId="0" applyAlignment="1">
      <alignment vertical="top" wrapText="1"/>
    </xf>
    <xf numFmtId="0" fontId="0" fillId="0" borderId="0" xfId="0" applyNumberFormat="1" applyAlignment="1">
      <alignment horizontal="left" vertical="top" wrapText="1"/>
    </xf>
    <xf numFmtId="0" fontId="8" fillId="9" borderId="0" xfId="2" applyFont="1" applyFill="1" applyBorder="1" applyAlignment="1">
      <alignment vertical="center" wrapText="1"/>
    </xf>
    <xf numFmtId="0" fontId="8" fillId="10" borderId="0" xfId="2" applyFont="1" applyFill="1" applyBorder="1" applyAlignment="1">
      <alignment horizontal="left" vertical="center"/>
    </xf>
    <xf numFmtId="0" fontId="8" fillId="10" borderId="0" xfId="2" applyFont="1" applyFill="1" applyBorder="1" applyAlignment="1">
      <alignment horizontal="center" vertical="center"/>
    </xf>
    <xf numFmtId="0" fontId="8" fillId="10" borderId="0" xfId="2" applyFont="1" applyFill="1" applyBorder="1" applyAlignment="1">
      <alignment vertical="center"/>
    </xf>
    <xf numFmtId="0" fontId="8" fillId="10" borderId="0" xfId="2" applyFont="1" applyFill="1" applyBorder="1" applyAlignment="1">
      <alignment vertical="center" wrapText="1"/>
    </xf>
    <xf numFmtId="0" fontId="8" fillId="11" borderId="0" xfId="2" applyFont="1" applyFill="1" applyBorder="1" applyAlignment="1">
      <alignment vertical="center" wrapText="1"/>
    </xf>
    <xf numFmtId="0" fontId="8" fillId="11" borderId="0" xfId="2" applyFont="1" applyFill="1" applyBorder="1" applyAlignment="1">
      <alignment horizontal="right" vertical="center" wrapText="1"/>
    </xf>
    <xf numFmtId="0" fontId="4" fillId="2" borderId="1" xfId="0" applyFont="1" applyFill="1" applyBorder="1" applyAlignment="1">
      <alignment horizontal="center" wrapText="1"/>
    </xf>
    <xf numFmtId="0" fontId="10" fillId="4" borderId="0" xfId="0" applyFont="1" applyFill="1" applyAlignment="1">
      <alignment vertical="top" wrapText="1"/>
    </xf>
    <xf numFmtId="0" fontId="8" fillId="9" borderId="0" xfId="2" applyFont="1" applyFill="1" applyBorder="1" applyAlignment="1">
      <alignment horizontal="right" vertical="center" wrapText="1"/>
    </xf>
    <xf numFmtId="0" fontId="11" fillId="4" borderId="26" xfId="0" applyFont="1" applyFill="1" applyBorder="1" applyAlignment="1">
      <alignment wrapText="1"/>
    </xf>
    <xf numFmtId="0" fontId="11" fillId="4" borderId="38" xfId="0" applyFont="1" applyFill="1" applyBorder="1" applyAlignment="1">
      <alignment wrapText="1"/>
    </xf>
    <xf numFmtId="0" fontId="3" fillId="13" borderId="39" xfId="0" applyFont="1" applyFill="1" applyBorder="1" applyAlignment="1">
      <alignment wrapText="1"/>
    </xf>
    <xf numFmtId="0" fontId="3" fillId="13" borderId="39" xfId="0" applyFont="1" applyFill="1" applyBorder="1"/>
    <xf numFmtId="0" fontId="6" fillId="3" borderId="40" xfId="0" applyFont="1" applyFill="1" applyBorder="1" applyAlignment="1">
      <alignment horizontal="left" vertical="center"/>
    </xf>
    <xf numFmtId="0" fontId="0" fillId="3" borderId="29" xfId="0" applyFill="1" applyBorder="1"/>
    <xf numFmtId="0" fontId="0" fillId="12" borderId="41" xfId="0" applyFill="1" applyBorder="1"/>
    <xf numFmtId="0" fontId="3" fillId="13" borderId="29" xfId="0" applyFont="1" applyFill="1" applyBorder="1"/>
    <xf numFmtId="0" fontId="3" fillId="13" borderId="29" xfId="0" applyFont="1" applyFill="1" applyBorder="1" applyAlignment="1">
      <alignment wrapText="1"/>
    </xf>
    <xf numFmtId="0" fontId="0" fillId="3" borderId="29" xfId="0" applyFill="1" applyBorder="1" applyAlignment="1">
      <alignment wrapText="1"/>
    </xf>
    <xf numFmtId="0" fontId="3" fillId="13" borderId="29" xfId="0" applyFont="1" applyFill="1" applyBorder="1" applyAlignment="1">
      <alignment vertical="center"/>
    </xf>
    <xf numFmtId="0" fontId="12" fillId="14" borderId="46" xfId="0" applyFont="1" applyFill="1" applyBorder="1" applyAlignment="1">
      <alignment horizontal="left" vertical="center"/>
    </xf>
    <xf numFmtId="0" fontId="0" fillId="7" borderId="29" xfId="0" applyFill="1" applyBorder="1"/>
    <xf numFmtId="0" fontId="12" fillId="14" borderId="47" xfId="0" applyFont="1" applyFill="1" applyBorder="1" applyAlignment="1">
      <alignment horizontal="left" vertical="center"/>
    </xf>
    <xf numFmtId="0" fontId="3" fillId="13" borderId="49" xfId="0" applyFont="1" applyFill="1" applyBorder="1" applyAlignment="1">
      <alignment horizontal="left" vertical="center" wrapText="1"/>
    </xf>
    <xf numFmtId="0" fontId="3" fillId="13" borderId="28" xfId="0" applyFont="1" applyFill="1" applyBorder="1" applyAlignment="1">
      <alignment vertical="center" wrapText="1"/>
    </xf>
    <xf numFmtId="0" fontId="3" fillId="13" borderId="42" xfId="0" applyFont="1" applyFill="1" applyBorder="1" applyAlignment="1">
      <alignment vertical="center" wrapText="1"/>
    </xf>
    <xf numFmtId="0" fontId="12" fillId="15" borderId="46" xfId="0" applyFont="1" applyFill="1" applyBorder="1" applyAlignment="1">
      <alignment horizontal="left" vertical="center"/>
    </xf>
    <xf numFmtId="0" fontId="13" fillId="13" borderId="29" xfId="0" applyFont="1" applyFill="1" applyBorder="1" applyAlignment="1">
      <alignment vertical="center"/>
    </xf>
    <xf numFmtId="0" fontId="3" fillId="13" borderId="41" xfId="0" applyFont="1" applyFill="1" applyBorder="1" applyAlignment="1">
      <alignment vertical="center"/>
    </xf>
    <xf numFmtId="0" fontId="3" fillId="16" borderId="52" xfId="0" applyFont="1" applyFill="1" applyBorder="1" applyAlignment="1">
      <alignment wrapText="1"/>
    </xf>
    <xf numFmtId="0" fontId="3" fillId="13" borderId="49" xfId="0" applyFont="1" applyFill="1" applyBorder="1" applyAlignment="1">
      <alignment vertical="center"/>
    </xf>
    <xf numFmtId="0" fontId="3" fillId="13" borderId="0" xfId="0" applyFont="1" applyFill="1" applyAlignment="1">
      <alignment vertical="center"/>
    </xf>
    <xf numFmtId="0" fontId="3" fillId="16" borderId="27" xfId="0" applyFont="1" applyFill="1" applyBorder="1" applyAlignment="1">
      <alignment wrapText="1"/>
    </xf>
    <xf numFmtId="0" fontId="3" fillId="16" borderId="27" xfId="0" applyFont="1" applyFill="1" applyBorder="1"/>
    <xf numFmtId="0" fontId="3" fillId="13" borderId="53" xfId="0" applyFont="1" applyFill="1" applyBorder="1" applyAlignment="1">
      <alignment vertical="center"/>
    </xf>
    <xf numFmtId="0" fontId="3" fillId="13" borderId="54" xfId="0" applyFont="1" applyFill="1" applyBorder="1" applyAlignment="1">
      <alignment vertical="center"/>
    </xf>
    <xf numFmtId="0" fontId="3" fillId="16" borderId="55" xfId="0" applyFont="1" applyFill="1" applyBorder="1"/>
    <xf numFmtId="0" fontId="3" fillId="16" borderId="56" xfId="0" applyFont="1" applyFill="1" applyBorder="1" applyAlignment="1">
      <alignment wrapText="1"/>
    </xf>
    <xf numFmtId="0" fontId="3" fillId="7" borderId="29" xfId="0" applyFont="1" applyFill="1" applyBorder="1"/>
    <xf numFmtId="0" fontId="12" fillId="15" borderId="0" xfId="0" applyFont="1" applyFill="1" applyAlignment="1">
      <alignment horizontal="center" vertical="center" wrapText="1"/>
    </xf>
    <xf numFmtId="0" fontId="0" fillId="7" borderId="28" xfId="0" applyFill="1" applyBorder="1" applyAlignment="1">
      <alignment horizontal="left" vertical="center"/>
    </xf>
    <xf numFmtId="0" fontId="0" fillId="7" borderId="43" xfId="0" applyFill="1" applyBorder="1" applyAlignment="1">
      <alignment horizontal="left" vertical="center" wrapText="1"/>
    </xf>
    <xf numFmtId="0" fontId="0" fillId="7" borderId="42" xfId="0" applyFill="1" applyBorder="1" applyAlignment="1">
      <alignment horizontal="left" vertical="center"/>
    </xf>
    <xf numFmtId="0" fontId="3" fillId="17" borderId="29" xfId="0" applyFont="1" applyFill="1" applyBorder="1"/>
    <xf numFmtId="0" fontId="3" fillId="17" borderId="29" xfId="0" applyFont="1" applyFill="1" applyBorder="1" applyAlignment="1">
      <alignment wrapText="1"/>
    </xf>
    <xf numFmtId="0" fontId="0" fillId="3" borderId="29" xfId="0" applyFill="1" applyBorder="1" applyAlignment="1">
      <alignment horizontal="left" vertical="center"/>
    </xf>
    <xf numFmtId="0" fontId="12" fillId="14" borderId="58" xfId="0" applyFont="1" applyFill="1" applyBorder="1" applyAlignment="1">
      <alignment horizontal="left" vertical="center"/>
    </xf>
    <xf numFmtId="0" fontId="0" fillId="7" borderId="29" xfId="0" applyFill="1" applyBorder="1" applyAlignment="1">
      <alignment horizontal="left" vertical="center"/>
    </xf>
    <xf numFmtId="0" fontId="12" fillId="14" borderId="59" xfId="0" applyFont="1" applyFill="1" applyBorder="1" applyAlignment="1">
      <alignment horizontal="left" vertical="center"/>
    </xf>
    <xf numFmtId="0" fontId="0" fillId="7" borderId="60" xfId="0" applyFill="1" applyBorder="1" applyAlignment="1">
      <alignment horizontal="left" vertical="center"/>
    </xf>
    <xf numFmtId="0" fontId="0" fillId="7" borderId="41" xfId="0" applyFill="1" applyBorder="1" applyAlignment="1">
      <alignment horizontal="left" vertical="center"/>
    </xf>
    <xf numFmtId="0" fontId="0" fillId="7" borderId="59" xfId="0" applyFill="1" applyBorder="1" applyAlignment="1">
      <alignment horizontal="left" vertical="center"/>
    </xf>
    <xf numFmtId="0" fontId="3" fillId="13" borderId="50" xfId="0" applyFont="1" applyFill="1" applyBorder="1" applyAlignment="1">
      <alignment vertical="center" wrapText="1"/>
    </xf>
    <xf numFmtId="0" fontId="0" fillId="3" borderId="60" xfId="0" applyFill="1" applyBorder="1" applyAlignment="1">
      <alignment vertical="center"/>
    </xf>
    <xf numFmtId="0" fontId="3" fillId="13" borderId="49" xfId="0" applyFont="1" applyFill="1" applyBorder="1" applyAlignment="1">
      <alignment vertical="center" wrapText="1"/>
    </xf>
    <xf numFmtId="0" fontId="3" fillId="13" borderId="48" xfId="0" applyFont="1" applyFill="1" applyBorder="1" applyAlignment="1">
      <alignment vertical="center" wrapText="1"/>
    </xf>
    <xf numFmtId="0" fontId="3" fillId="13" borderId="42" xfId="0" applyFont="1" applyFill="1" applyBorder="1" applyAlignment="1">
      <alignment vertical="center"/>
    </xf>
    <xf numFmtId="0" fontId="0" fillId="3" borderId="47" xfId="0" applyFill="1" applyBorder="1" applyAlignment="1">
      <alignment vertical="center"/>
    </xf>
    <xf numFmtId="0" fontId="3" fillId="13" borderId="43" xfId="0" applyFont="1" applyFill="1" applyBorder="1" applyAlignment="1">
      <alignment vertical="center"/>
    </xf>
    <xf numFmtId="0" fontId="3" fillId="13" borderId="51" xfId="0" applyFont="1" applyFill="1" applyBorder="1" applyAlignment="1">
      <alignment vertical="center" wrapText="1"/>
    </xf>
    <xf numFmtId="0" fontId="0" fillId="3" borderId="64" xfId="0" applyFill="1" applyBorder="1" applyAlignment="1">
      <alignment vertical="center"/>
    </xf>
    <xf numFmtId="0" fontId="0" fillId="3" borderId="60" xfId="0" applyFill="1" applyBorder="1" applyAlignment="1">
      <alignment horizontal="left" vertical="center"/>
    </xf>
    <xf numFmtId="0" fontId="3" fillId="13" borderId="28" xfId="0" applyFont="1" applyFill="1" applyBorder="1" applyAlignment="1">
      <alignment vertical="center"/>
    </xf>
    <xf numFmtId="0" fontId="3" fillId="13" borderId="43" xfId="0" applyFont="1" applyFill="1" applyBorder="1" applyAlignment="1">
      <alignment vertical="center" wrapText="1"/>
    </xf>
    <xf numFmtId="0" fontId="0" fillId="3" borderId="47" xfId="0" applyFill="1" applyBorder="1" applyAlignment="1">
      <alignment vertical="center" wrapText="1"/>
    </xf>
    <xf numFmtId="0" fontId="0" fillId="3" borderId="64" xfId="0" applyFill="1" applyBorder="1" applyAlignment="1">
      <alignment vertical="center" wrapText="1"/>
    </xf>
    <xf numFmtId="0" fontId="0" fillId="3" borderId="47" xfId="0" applyFill="1" applyBorder="1" applyAlignment="1">
      <alignment horizontal="left" vertical="center" wrapText="1"/>
    </xf>
    <xf numFmtId="0" fontId="0" fillId="0" borderId="48" xfId="0" applyBorder="1" applyAlignment="1">
      <alignment horizontal="left" vertical="center" wrapText="1"/>
    </xf>
    <xf numFmtId="0" fontId="0" fillId="0" borderId="42" xfId="0" applyBorder="1" applyAlignment="1">
      <alignment horizontal="center" vertical="center"/>
    </xf>
    <xf numFmtId="0" fontId="0" fillId="0" borderId="51" xfId="0" applyBorder="1" applyAlignment="1">
      <alignment horizontal="left" vertical="center" wrapText="1"/>
    </xf>
    <xf numFmtId="0" fontId="0" fillId="0" borderId="50" xfId="0" applyBorder="1" applyAlignment="1">
      <alignment horizontal="left" vertical="center" wrapText="1"/>
    </xf>
    <xf numFmtId="0" fontId="0" fillId="0" borderId="29" xfId="0" applyBorder="1" applyAlignment="1">
      <alignment wrapText="1"/>
    </xf>
    <xf numFmtId="0" fontId="0" fillId="0" borderId="50" xfId="0" applyBorder="1" applyAlignment="1">
      <alignment vertical="center" wrapText="1"/>
    </xf>
    <xf numFmtId="0" fontId="0" fillId="0" borderId="48" xfId="0" applyBorder="1" applyAlignment="1">
      <alignment vertical="center" wrapText="1"/>
    </xf>
    <xf numFmtId="0" fontId="0" fillId="0" borderId="51" xfId="0" applyBorder="1" applyAlignment="1">
      <alignment vertical="center" wrapText="1"/>
    </xf>
    <xf numFmtId="0" fontId="17" fillId="18" borderId="0" xfId="2" applyFont="1" applyFill="1" applyAlignment="1">
      <alignment vertical="center"/>
    </xf>
    <xf numFmtId="0" fontId="17" fillId="18" borderId="0" xfId="2" applyFont="1" applyFill="1" applyAlignment="1">
      <alignment vertical="center" wrapText="1"/>
    </xf>
    <xf numFmtId="0" fontId="17" fillId="18" borderId="0" xfId="2" applyFont="1" applyFill="1" applyAlignment="1">
      <alignment horizontal="left" vertical="center"/>
    </xf>
    <xf numFmtId="0" fontId="11" fillId="4" borderId="38" xfId="0" applyFont="1" applyFill="1" applyBorder="1" applyAlignment="1">
      <alignment horizontal="left" wrapText="1"/>
    </xf>
    <xf numFmtId="0" fontId="6" fillId="3" borderId="42" xfId="0" applyFont="1" applyFill="1" applyBorder="1" applyAlignment="1">
      <alignment horizontal="left" vertical="center" wrapText="1"/>
    </xf>
    <xf numFmtId="0" fontId="6" fillId="3" borderId="45" xfId="0" applyFont="1" applyFill="1" applyBorder="1" applyAlignment="1">
      <alignment horizontal="left" vertical="center" wrapText="1"/>
    </xf>
    <xf numFmtId="0" fontId="12" fillId="14" borderId="47" xfId="0" applyFont="1" applyFill="1" applyBorder="1" applyAlignment="1">
      <alignment horizontal="left" vertical="center" wrapText="1"/>
    </xf>
    <xf numFmtId="0" fontId="12" fillId="15" borderId="47" xfId="0" applyFont="1" applyFill="1" applyBorder="1" applyAlignment="1">
      <alignment horizontal="left" vertical="center" wrapText="1"/>
    </xf>
    <xf numFmtId="0" fontId="12" fillId="15" borderId="57" xfId="0" applyFont="1" applyFill="1" applyBorder="1" applyAlignment="1">
      <alignment horizontal="left" vertical="center" wrapText="1"/>
    </xf>
    <xf numFmtId="0" fontId="4" fillId="14" borderId="47" xfId="0" applyFont="1" applyFill="1" applyBorder="1" applyAlignment="1">
      <alignment horizontal="left" vertical="center" wrapText="1"/>
    </xf>
    <xf numFmtId="0" fontId="12" fillId="14" borderId="57" xfId="0" applyFont="1" applyFill="1" applyBorder="1" applyAlignment="1">
      <alignment horizontal="left" vertical="center" wrapText="1"/>
    </xf>
    <xf numFmtId="0" fontId="12" fillId="14" borderId="46" xfId="0" applyFont="1" applyFill="1" applyBorder="1" applyAlignment="1">
      <alignment horizontal="left" vertical="center" wrapText="1"/>
    </xf>
    <xf numFmtId="0" fontId="12" fillId="14" borderId="59" xfId="0" applyFont="1" applyFill="1" applyBorder="1" applyAlignment="1">
      <alignment horizontal="left" vertical="center" wrapText="1"/>
    </xf>
    <xf numFmtId="0" fontId="12" fillId="14" borderId="61" xfId="0" applyFont="1" applyFill="1" applyBorder="1" applyAlignment="1">
      <alignment horizontal="left" vertical="center" wrapText="1"/>
    </xf>
    <xf numFmtId="0" fontId="12" fillId="15" borderId="62" xfId="0" applyFont="1" applyFill="1" applyBorder="1" applyAlignment="1">
      <alignment horizontal="left" vertical="center" wrapText="1"/>
    </xf>
    <xf numFmtId="0" fontId="12" fillId="15" borderId="63" xfId="0" applyFont="1" applyFill="1" applyBorder="1" applyAlignment="1">
      <alignment horizontal="left" vertical="center" wrapText="1"/>
    </xf>
    <xf numFmtId="0" fontId="0" fillId="0" borderId="0" xfId="0" applyAlignment="1">
      <alignment horizontal="left"/>
    </xf>
    <xf numFmtId="0" fontId="3" fillId="16" borderId="55" xfId="0" applyFont="1" applyFill="1" applyBorder="1" applyAlignment="1">
      <alignment wrapText="1"/>
    </xf>
    <xf numFmtId="0" fontId="14" fillId="13" borderId="29" xfId="0" applyFont="1" applyFill="1" applyBorder="1" applyAlignment="1">
      <alignment wrapText="1"/>
    </xf>
    <xf numFmtId="0" fontId="3" fillId="13" borderId="55" xfId="0" applyFont="1" applyFill="1" applyBorder="1" applyAlignment="1">
      <alignment wrapText="1"/>
    </xf>
    <xf numFmtId="0" fontId="18" fillId="3" borderId="0" xfId="0" applyFont="1" applyFill="1" applyAlignment="1">
      <alignment vertical="center"/>
    </xf>
    <xf numFmtId="0" fontId="19" fillId="3" borderId="0" xfId="0" applyFont="1" applyFill="1" applyAlignment="1">
      <alignment horizontal="center" vertical="center"/>
    </xf>
    <xf numFmtId="0" fontId="18" fillId="8" borderId="37" xfId="0" applyFont="1" applyFill="1" applyBorder="1" applyAlignment="1">
      <alignment vertical="center"/>
    </xf>
    <xf numFmtId="0" fontId="20" fillId="0" borderId="0" xfId="0" applyFont="1" applyAlignment="1">
      <alignment wrapText="1"/>
    </xf>
    <xf numFmtId="0" fontId="0" fillId="12" borderId="0" xfId="0" applyFill="1" applyAlignment="1">
      <alignment vertical="top"/>
    </xf>
    <xf numFmtId="0" fontId="0" fillId="12" borderId="41" xfId="0" applyFill="1" applyBorder="1" applyAlignment="1">
      <alignment vertical="top"/>
    </xf>
    <xf numFmtId="0" fontId="3" fillId="13" borderId="66" xfId="0" applyFont="1" applyFill="1" applyBorder="1"/>
    <xf numFmtId="0" fontId="3" fillId="17" borderId="66" xfId="0" applyFont="1" applyFill="1" applyBorder="1" applyAlignment="1">
      <alignment horizontal="left" vertical="center" wrapText="1"/>
    </xf>
    <xf numFmtId="0" fontId="8" fillId="10" borderId="0" xfId="2" applyFont="1" applyFill="1" applyBorder="1" applyAlignment="1">
      <alignment horizontal="center" vertical="center" wrapText="1"/>
    </xf>
    <xf numFmtId="0" fontId="13" fillId="13" borderId="27" xfId="0" applyFont="1" applyFill="1" applyBorder="1" applyAlignment="1">
      <alignment horizontal="left"/>
    </xf>
    <xf numFmtId="0" fontId="13" fillId="13" borderId="29" xfId="0" applyFont="1" applyFill="1" applyBorder="1"/>
    <xf numFmtId="0" fontId="13" fillId="13" borderId="29" xfId="0" applyFont="1" applyFill="1" applyBorder="1" applyAlignment="1">
      <alignment wrapText="1"/>
    </xf>
    <xf numFmtId="0" fontId="3" fillId="13" borderId="44" xfId="0" applyFont="1" applyFill="1" applyBorder="1" applyAlignment="1">
      <alignment horizontal="left" wrapText="1"/>
    </xf>
    <xf numFmtId="0" fontId="22" fillId="3" borderId="0" xfId="0" applyFont="1" applyFill="1"/>
    <xf numFmtId="0" fontId="22" fillId="3" borderId="0" xfId="0" applyFont="1" applyFill="1" applyAlignment="1">
      <alignment horizontal="right"/>
    </xf>
    <xf numFmtId="0" fontId="23" fillId="3" borderId="0" xfId="0" quotePrefix="1" applyFont="1" applyFill="1"/>
    <xf numFmtId="0" fontId="21" fillId="0" borderId="0" xfId="0" applyFont="1"/>
    <xf numFmtId="0" fontId="24" fillId="3" borderId="0" xfId="0" applyFont="1" applyFill="1"/>
    <xf numFmtId="0" fontId="25" fillId="3" borderId="0" xfId="0" applyFont="1" applyFill="1"/>
    <xf numFmtId="0" fontId="26" fillId="3" borderId="0" xfId="0" applyFont="1" applyFill="1"/>
    <xf numFmtId="0" fontId="25" fillId="3" borderId="2" xfId="0" applyFont="1" applyFill="1" applyBorder="1"/>
    <xf numFmtId="0" fontId="25" fillId="3" borderId="10" xfId="0" applyFont="1" applyFill="1" applyBorder="1"/>
    <xf numFmtId="0" fontId="25" fillId="3" borderId="3" xfId="0" applyFont="1" applyFill="1" applyBorder="1"/>
    <xf numFmtId="0" fontId="21" fillId="19" borderId="9" xfId="0" applyFont="1" applyFill="1" applyBorder="1"/>
    <xf numFmtId="0" fontId="21" fillId="20" borderId="12" xfId="0" applyFont="1" applyFill="1" applyBorder="1"/>
    <xf numFmtId="0" fontId="21" fillId="21" borderId="6" xfId="0" applyFont="1" applyFill="1" applyBorder="1"/>
    <xf numFmtId="0" fontId="21" fillId="3" borderId="14" xfId="0" applyFont="1" applyFill="1" applyBorder="1"/>
    <xf numFmtId="0" fontId="21" fillId="3" borderId="15" xfId="0" applyFont="1" applyFill="1" applyBorder="1"/>
    <xf numFmtId="0" fontId="21" fillId="3" borderId="13" xfId="0" applyFont="1" applyFill="1" applyBorder="1"/>
    <xf numFmtId="0" fontId="21" fillId="3" borderId="5" xfId="0" applyFont="1" applyFill="1" applyBorder="1" applyAlignment="1">
      <alignment wrapText="1"/>
    </xf>
    <xf numFmtId="0" fontId="21" fillId="3" borderId="36" xfId="0" applyFont="1" applyFill="1" applyBorder="1"/>
    <xf numFmtId="0" fontId="21" fillId="3" borderId="35" xfId="0" applyFont="1" applyFill="1" applyBorder="1" applyAlignment="1">
      <alignment wrapText="1"/>
    </xf>
    <xf numFmtId="0" fontId="25" fillId="3" borderId="10" xfId="4" applyFont="1" applyFill="1" applyBorder="1" applyAlignment="1">
      <alignment horizontal="center"/>
    </xf>
    <xf numFmtId="0" fontId="21" fillId="3" borderId="67" xfId="4" applyFont="1" applyFill="1" applyBorder="1" applyAlignment="1">
      <alignment vertical="top" wrapText="1"/>
    </xf>
    <xf numFmtId="0" fontId="21" fillId="3" borderId="32" xfId="4" applyFont="1" applyFill="1" applyBorder="1" applyAlignment="1">
      <alignment vertical="top" wrapText="1"/>
    </xf>
    <xf numFmtId="0" fontId="21" fillId="3" borderId="34" xfId="4" applyFont="1" applyFill="1" applyBorder="1" applyAlignment="1">
      <alignment vertical="top" wrapText="1"/>
    </xf>
    <xf numFmtId="0" fontId="9" fillId="0" borderId="0" xfId="0" applyFont="1" applyAlignment="1">
      <alignment horizontal="left" vertical="top" wrapText="1"/>
    </xf>
    <xf numFmtId="0" fontId="8" fillId="11" borderId="0" xfId="2" applyFont="1" applyFill="1" applyBorder="1" applyAlignment="1">
      <alignment horizontal="right" vertical="top" wrapText="1"/>
    </xf>
    <xf numFmtId="0" fontId="3" fillId="0" borderId="29" xfId="0" applyFont="1" applyBorder="1" applyAlignment="1">
      <alignment vertical="center" wrapText="1"/>
    </xf>
    <xf numFmtId="0" fontId="3" fillId="0" borderId="0" xfId="0" applyFont="1" applyBorder="1" applyAlignment="1">
      <alignment horizontal="left" vertical="top" wrapText="1"/>
    </xf>
    <xf numFmtId="0" fontId="13" fillId="13" borderId="43" xfId="0" applyFont="1" applyFill="1" applyBorder="1" applyAlignment="1">
      <alignment vertical="center" wrapText="1"/>
    </xf>
    <xf numFmtId="0" fontId="13" fillId="0" borderId="29" xfId="0" applyFont="1" applyFill="1" applyBorder="1" applyAlignment="1">
      <alignment wrapText="1"/>
    </xf>
    <xf numFmtId="0" fontId="21" fillId="3" borderId="0" xfId="0" applyFont="1" applyFill="1" applyAlignment="1">
      <alignment horizontal="justify" vertical="center"/>
    </xf>
    <xf numFmtId="0" fontId="21" fillId="3" borderId="0" xfId="0" applyFont="1" applyFill="1"/>
    <xf numFmtId="0" fontId="21" fillId="3" borderId="0" xfId="0" applyFont="1" applyFill="1" applyAlignment="1">
      <alignment horizontal="left" wrapText="1"/>
    </xf>
    <xf numFmtId="0" fontId="27" fillId="3" borderId="0" xfId="4" applyFont="1" applyFill="1" applyAlignment="1">
      <alignment horizontal="right" vertical="top" wrapText="1"/>
    </xf>
    <xf numFmtId="0" fontId="21" fillId="3" borderId="0" xfId="4" applyFont="1" applyFill="1" applyAlignment="1">
      <alignment vertical="top" wrapText="1"/>
    </xf>
    <xf numFmtId="0" fontId="21" fillId="3" borderId="0" xfId="0" applyFont="1" applyFill="1" applyAlignment="1">
      <alignment wrapText="1"/>
    </xf>
    <xf numFmtId="0" fontId="21" fillId="3" borderId="0" xfId="4" applyFont="1" applyFill="1" applyAlignment="1">
      <alignment wrapText="1"/>
    </xf>
    <xf numFmtId="0" fontId="3" fillId="13" borderId="66" xfId="0" applyFont="1" applyFill="1" applyBorder="1" applyAlignment="1">
      <alignment horizontal="left" vertical="center" wrapText="1"/>
    </xf>
    <xf numFmtId="0" fontId="3" fillId="13" borderId="28" xfId="0" applyFont="1" applyFill="1" applyBorder="1" applyAlignment="1">
      <alignment horizontal="left" vertical="center" wrapText="1"/>
    </xf>
    <xf numFmtId="0" fontId="3" fillId="13" borderId="42" xfId="0" applyFont="1" applyFill="1" applyBorder="1" applyAlignment="1">
      <alignment horizontal="left" vertical="center" wrapText="1"/>
    </xf>
    <xf numFmtId="0" fontId="3" fillId="13" borderId="50" xfId="0" applyFont="1" applyFill="1" applyBorder="1" applyAlignment="1">
      <alignment horizontal="left" vertical="center" wrapText="1"/>
    </xf>
    <xf numFmtId="0" fontId="3" fillId="13" borderId="48" xfId="0" applyFont="1" applyFill="1" applyBorder="1" applyAlignment="1">
      <alignment horizontal="left" vertical="center" wrapText="1"/>
    </xf>
    <xf numFmtId="0" fontId="3" fillId="13" borderId="51" xfId="0" applyFont="1" applyFill="1" applyBorder="1" applyAlignment="1">
      <alignment horizontal="left" vertical="center" wrapText="1"/>
    </xf>
    <xf numFmtId="0" fontId="3" fillId="13" borderId="28" xfId="0" applyFont="1" applyFill="1" applyBorder="1" applyAlignment="1">
      <alignment wrapText="1"/>
    </xf>
    <xf numFmtId="0" fontId="3" fillId="13" borderId="43" xfId="0" applyFont="1" applyFill="1" applyBorder="1" applyAlignment="1">
      <alignment horizontal="left" vertical="center" wrapText="1"/>
    </xf>
    <xf numFmtId="0" fontId="3" fillId="13" borderId="66" xfId="0" applyFont="1" applyFill="1" applyBorder="1" applyAlignment="1">
      <alignment horizontal="left" vertical="center" wrapText="1"/>
    </xf>
    <xf numFmtId="0" fontId="8" fillId="22" borderId="0" xfId="2" applyFont="1" applyFill="1" applyBorder="1" applyAlignment="1">
      <alignment vertical="center" wrapText="1"/>
    </xf>
    <xf numFmtId="0" fontId="28" fillId="4" borderId="68" xfId="0" applyFont="1" applyFill="1" applyBorder="1" applyAlignment="1">
      <alignment vertical="top" wrapText="1"/>
    </xf>
    <xf numFmtId="0" fontId="8" fillId="22" borderId="0" xfId="2" applyFont="1" applyFill="1" applyBorder="1" applyAlignment="1">
      <alignment horizontal="left" vertical="top" wrapText="1"/>
    </xf>
    <xf numFmtId="0" fontId="28" fillId="4" borderId="68" xfId="0" applyFont="1" applyFill="1" applyBorder="1" applyAlignment="1">
      <alignment horizontal="left" vertical="top" wrapText="1"/>
    </xf>
    <xf numFmtId="0" fontId="0" fillId="18" borderId="0" xfId="0" applyFill="1" applyAlignment="1">
      <alignment horizontal="left" vertical="top" wrapText="1"/>
    </xf>
    <xf numFmtId="0" fontId="8" fillId="22" borderId="0" xfId="2" applyFont="1" applyFill="1" applyBorder="1" applyAlignment="1">
      <alignment vertical="top" wrapText="1"/>
    </xf>
    <xf numFmtId="0" fontId="0" fillId="0" borderId="0" xfId="0" applyAlignment="1">
      <alignment vertical="top"/>
    </xf>
    <xf numFmtId="0" fontId="0" fillId="0" borderId="0" xfId="0" applyFill="1" applyAlignment="1">
      <alignment vertical="top" wrapText="1"/>
    </xf>
    <xf numFmtId="0" fontId="0" fillId="0" borderId="0" xfId="0" applyFill="1" applyAlignment="1">
      <alignment vertical="top"/>
    </xf>
    <xf numFmtId="0" fontId="8" fillId="22" borderId="0" xfId="2" applyFont="1" applyFill="1" applyBorder="1" applyAlignment="1">
      <alignment vertical="top"/>
    </xf>
    <xf numFmtId="0" fontId="0" fillId="3" borderId="0" xfId="0" applyFill="1" applyAlignment="1">
      <alignment vertical="top" wrapText="1"/>
    </xf>
    <xf numFmtId="0" fontId="27" fillId="3" borderId="36" xfId="4" applyFont="1" applyFill="1" applyBorder="1" applyAlignment="1">
      <alignment horizontal="right" vertical="top" wrapText="1"/>
    </xf>
    <xf numFmtId="0" fontId="27" fillId="3" borderId="35" xfId="4" applyFont="1" applyFill="1" applyBorder="1" applyAlignment="1">
      <alignment horizontal="right" vertical="top" wrapText="1"/>
    </xf>
    <xf numFmtId="0" fontId="21" fillId="3" borderId="23" xfId="4" applyFont="1" applyFill="1" applyBorder="1" applyAlignment="1">
      <alignment wrapText="1"/>
    </xf>
    <xf numFmtId="0" fontId="21" fillId="3" borderId="24" xfId="4" applyFont="1" applyFill="1" applyBorder="1" applyAlignment="1">
      <alignment wrapText="1"/>
    </xf>
    <xf numFmtId="0" fontId="21" fillId="3" borderId="25" xfId="4" applyFont="1" applyFill="1" applyBorder="1" applyAlignment="1">
      <alignment wrapText="1"/>
    </xf>
    <xf numFmtId="0" fontId="27" fillId="3" borderId="13" xfId="4" applyFont="1" applyFill="1" applyBorder="1" applyAlignment="1">
      <alignment horizontal="right" vertical="top" wrapText="1"/>
    </xf>
    <xf numFmtId="0" fontId="27" fillId="3" borderId="5" xfId="4" applyFont="1" applyFill="1" applyBorder="1" applyAlignment="1">
      <alignment horizontal="right" vertical="top" wrapText="1"/>
    </xf>
    <xf numFmtId="0" fontId="21" fillId="3" borderId="20" xfId="4" applyFont="1" applyFill="1" applyBorder="1" applyAlignment="1">
      <alignment vertical="center" wrapText="1"/>
    </xf>
    <xf numFmtId="0" fontId="21" fillId="3" borderId="21" xfId="4" applyFont="1" applyFill="1" applyBorder="1" applyAlignment="1">
      <alignment vertical="center" wrapText="1"/>
    </xf>
    <xf numFmtId="0" fontId="21" fillId="3" borderId="22" xfId="4" applyFont="1" applyFill="1" applyBorder="1" applyAlignment="1">
      <alignment vertical="center" wrapText="1"/>
    </xf>
    <xf numFmtId="0" fontId="21" fillId="3" borderId="20" xfId="4" quotePrefix="1" applyFont="1" applyFill="1" applyBorder="1" applyAlignment="1">
      <alignment vertical="center" wrapText="1"/>
    </xf>
    <xf numFmtId="0" fontId="21" fillId="3" borderId="21" xfId="4" quotePrefix="1" applyFont="1" applyFill="1" applyBorder="1" applyAlignment="1">
      <alignment vertical="center" wrapText="1"/>
    </xf>
    <xf numFmtId="0" fontId="21" fillId="3" borderId="22" xfId="4" quotePrefix="1" applyFont="1" applyFill="1" applyBorder="1" applyAlignment="1">
      <alignment vertical="center" wrapText="1"/>
    </xf>
    <xf numFmtId="0" fontId="21" fillId="3" borderId="20" xfId="4" applyFont="1" applyFill="1" applyBorder="1" applyAlignment="1">
      <alignment wrapText="1"/>
    </xf>
    <xf numFmtId="0" fontId="21" fillId="3" borderId="21" xfId="4" applyFont="1" applyFill="1" applyBorder="1" applyAlignment="1">
      <alignment wrapText="1"/>
    </xf>
    <xf numFmtId="0" fontId="21" fillId="3" borderId="22" xfId="4" applyFont="1" applyFill="1" applyBorder="1" applyAlignment="1">
      <alignment wrapText="1"/>
    </xf>
    <xf numFmtId="0" fontId="27" fillId="3" borderId="9" xfId="4" applyFont="1" applyFill="1" applyBorder="1" applyAlignment="1">
      <alignment horizontal="right" vertical="top" wrapText="1"/>
    </xf>
    <xf numFmtId="0" fontId="27" fillId="3" borderId="4" xfId="4" applyFont="1" applyFill="1" applyBorder="1" applyAlignment="1">
      <alignment horizontal="right" vertical="top" wrapText="1"/>
    </xf>
    <xf numFmtId="0" fontId="21" fillId="3" borderId="14" xfId="4" applyFont="1" applyFill="1" applyBorder="1" applyAlignment="1">
      <alignment vertical="center" wrapText="1"/>
    </xf>
    <xf numFmtId="0" fontId="21" fillId="3" borderId="19" xfId="4" applyFont="1" applyFill="1" applyBorder="1" applyAlignment="1">
      <alignment vertical="center" wrapText="1"/>
    </xf>
    <xf numFmtId="0" fontId="21" fillId="3" borderId="15" xfId="4" applyFont="1" applyFill="1" applyBorder="1" applyAlignment="1">
      <alignment vertical="center" wrapText="1"/>
    </xf>
    <xf numFmtId="0" fontId="21" fillId="3" borderId="0" xfId="0" applyFont="1" applyFill="1" applyAlignment="1">
      <alignment horizontal="left" wrapText="1"/>
    </xf>
    <xf numFmtId="0" fontId="27" fillId="3" borderId="0" xfId="4" applyFont="1" applyFill="1" applyAlignment="1">
      <alignment horizontal="right" vertical="top" wrapText="1"/>
    </xf>
    <xf numFmtId="0" fontId="21" fillId="3" borderId="0" xfId="4" applyFont="1" applyFill="1" applyAlignment="1">
      <alignment vertical="center" wrapText="1"/>
    </xf>
    <xf numFmtId="0" fontId="21" fillId="3" borderId="0" xfId="4" applyFont="1" applyFill="1" applyAlignment="1">
      <alignment wrapText="1"/>
    </xf>
    <xf numFmtId="0" fontId="25" fillId="3" borderId="2" xfId="4" applyFont="1" applyFill="1" applyBorder="1" applyAlignment="1">
      <alignment horizontal="center" vertical="center"/>
    </xf>
    <xf numFmtId="0" fontId="25" fillId="3" borderId="3" xfId="4" applyFont="1" applyFill="1" applyBorder="1" applyAlignment="1">
      <alignment horizontal="center" vertical="center"/>
    </xf>
    <xf numFmtId="0" fontId="25" fillId="3" borderId="16" xfId="4" applyFont="1" applyFill="1" applyBorder="1" applyAlignment="1">
      <alignment horizontal="center"/>
    </xf>
    <xf numFmtId="0" fontId="25" fillId="3" borderId="17" xfId="4" applyFont="1" applyFill="1" applyBorder="1" applyAlignment="1">
      <alignment horizontal="center"/>
    </xf>
    <xf numFmtId="0" fontId="25" fillId="3" borderId="18" xfId="4" applyFont="1" applyFill="1" applyBorder="1" applyAlignment="1">
      <alignment horizontal="center"/>
    </xf>
    <xf numFmtId="0" fontId="21" fillId="3" borderId="0" xfId="4" applyFont="1" applyFill="1" applyAlignment="1">
      <alignment vertical="top" wrapText="1"/>
    </xf>
    <xf numFmtId="0" fontId="21" fillId="3" borderId="33" xfId="0" applyFont="1" applyFill="1" applyBorder="1" applyAlignment="1"/>
    <xf numFmtId="0" fontId="21" fillId="3" borderId="34" xfId="0" applyFont="1" applyFill="1" applyBorder="1" applyAlignment="1"/>
    <xf numFmtId="0" fontId="21" fillId="3" borderId="35" xfId="0" applyFont="1" applyFill="1" applyBorder="1" applyAlignment="1"/>
    <xf numFmtId="0" fontId="25" fillId="3" borderId="2" xfId="0" applyFont="1" applyFill="1" applyBorder="1" applyAlignment="1">
      <alignment horizontal="center" vertical="center" wrapText="1"/>
    </xf>
    <xf numFmtId="0" fontId="25" fillId="3" borderId="3" xfId="0" applyFont="1" applyFill="1" applyBorder="1" applyAlignment="1">
      <alignment horizontal="center" vertical="center" wrapText="1"/>
    </xf>
    <xf numFmtId="0" fontId="25" fillId="3" borderId="2" xfId="0" applyFont="1" applyFill="1" applyBorder="1" applyAlignment="1">
      <alignment horizontal="center" vertical="center"/>
    </xf>
    <xf numFmtId="0" fontId="25" fillId="3" borderId="3" xfId="0" applyFont="1" applyFill="1" applyBorder="1" applyAlignment="1">
      <alignment horizontal="center" vertical="center"/>
    </xf>
    <xf numFmtId="0" fontId="21" fillId="3" borderId="9" xfId="0" applyFont="1" applyFill="1" applyBorder="1" applyAlignment="1">
      <alignment horizontal="right"/>
    </xf>
    <xf numFmtId="0" fontId="21" fillId="3" borderId="4" xfId="0" applyFont="1" applyFill="1" applyBorder="1" applyAlignment="1">
      <alignment horizontal="right"/>
    </xf>
    <xf numFmtId="0" fontId="21" fillId="3" borderId="12" xfId="0" applyFont="1" applyFill="1" applyBorder="1" applyAlignment="1">
      <alignment horizontal="right"/>
    </xf>
    <xf numFmtId="0" fontId="21" fillId="3" borderId="8" xfId="0" applyFont="1" applyFill="1" applyBorder="1" applyAlignment="1">
      <alignment horizontal="right"/>
    </xf>
    <xf numFmtId="0" fontId="21" fillId="3" borderId="6" xfId="0" applyFont="1" applyFill="1" applyBorder="1" applyAlignment="1">
      <alignment horizontal="right"/>
    </xf>
    <xf numFmtId="0" fontId="21" fillId="3" borderId="7" xfId="0" applyFont="1" applyFill="1" applyBorder="1" applyAlignment="1">
      <alignment horizontal="right"/>
    </xf>
    <xf numFmtId="0" fontId="21" fillId="3" borderId="0" xfId="0" applyFont="1" applyFill="1" applyAlignment="1">
      <alignment wrapText="1"/>
    </xf>
    <xf numFmtId="0" fontId="21" fillId="3" borderId="31" xfId="0" applyFont="1" applyFill="1" applyBorder="1" applyAlignment="1"/>
    <xf numFmtId="0" fontId="21" fillId="3" borderId="32" xfId="0" applyFont="1" applyFill="1" applyBorder="1" applyAlignment="1"/>
    <xf numFmtId="0" fontId="21" fillId="3" borderId="5" xfId="0" applyFont="1" applyFill="1" applyBorder="1" applyAlignment="1"/>
    <xf numFmtId="0" fontId="21" fillId="3" borderId="0" xfId="0" applyFont="1" applyFill="1" applyAlignment="1">
      <alignment vertical="center" wrapText="1"/>
    </xf>
    <xf numFmtId="0" fontId="21" fillId="3" borderId="0" xfId="0" applyFont="1" applyFill="1" applyAlignment="1">
      <alignment horizontal="justify" vertical="center"/>
    </xf>
    <xf numFmtId="0" fontId="21" fillId="3" borderId="0" xfId="0" applyFont="1" applyFill="1" applyAlignment="1">
      <alignment horizontal="left" vertical="center" wrapText="1"/>
    </xf>
    <xf numFmtId="0" fontId="21" fillId="3" borderId="30" xfId="0" applyFont="1" applyFill="1" applyBorder="1" applyAlignment="1"/>
    <xf numFmtId="0" fontId="21" fillId="3" borderId="11" xfId="0" applyFont="1" applyFill="1" applyBorder="1" applyAlignment="1"/>
    <xf numFmtId="0" fontId="21" fillId="3" borderId="4" xfId="0" applyFont="1" applyFill="1" applyBorder="1" applyAlignment="1"/>
    <xf numFmtId="14" fontId="23" fillId="3" borderId="0" xfId="0" applyNumberFormat="1" applyFont="1" applyFill="1" applyAlignment="1">
      <alignment horizontal="left"/>
    </xf>
    <xf numFmtId="0" fontId="21" fillId="3" borderId="0" xfId="0" applyFont="1" applyFill="1" applyAlignment="1"/>
    <xf numFmtId="0" fontId="21" fillId="3" borderId="0" xfId="0" applyFont="1" applyFill="1" applyAlignment="1">
      <alignment horizontal="right"/>
    </xf>
    <xf numFmtId="0" fontId="3" fillId="13" borderId="28" xfId="0" applyFont="1" applyFill="1" applyBorder="1" applyAlignment="1">
      <alignment horizontal="left" vertical="center" wrapText="1"/>
    </xf>
    <xf numFmtId="0" fontId="3" fillId="13" borderId="42" xfId="0" applyFont="1" applyFill="1" applyBorder="1" applyAlignment="1">
      <alignment horizontal="left" vertical="center" wrapText="1"/>
    </xf>
    <xf numFmtId="0" fontId="3" fillId="13" borderId="43" xfId="0" applyFont="1" applyFill="1" applyBorder="1" applyAlignment="1">
      <alignment horizontal="left" vertical="center" wrapText="1"/>
    </xf>
    <xf numFmtId="0" fontId="18" fillId="8" borderId="65" xfId="0" applyFont="1" applyFill="1" applyBorder="1" applyAlignment="1">
      <alignment horizontal="center" vertical="center"/>
    </xf>
    <xf numFmtId="0" fontId="19" fillId="3" borderId="65" xfId="0" applyFont="1" applyFill="1" applyBorder="1" applyAlignment="1">
      <alignment horizontal="center" vertical="center"/>
    </xf>
    <xf numFmtId="0" fontId="3" fillId="13" borderId="50" xfId="0" applyFont="1" applyFill="1" applyBorder="1" applyAlignment="1">
      <alignment horizontal="left" vertical="center" wrapText="1"/>
    </xf>
    <xf numFmtId="0" fontId="3" fillId="13" borderId="48" xfId="0" applyFont="1" applyFill="1" applyBorder="1" applyAlignment="1">
      <alignment horizontal="left" vertical="center" wrapText="1"/>
    </xf>
    <xf numFmtId="0" fontId="3" fillId="13" borderId="51" xfId="0" applyFont="1" applyFill="1" applyBorder="1" applyAlignment="1">
      <alignment horizontal="left" vertical="center" wrapText="1"/>
    </xf>
    <xf numFmtId="0" fontId="3" fillId="13" borderId="28" xfId="0" applyFont="1" applyFill="1" applyBorder="1" applyAlignment="1">
      <alignment wrapText="1"/>
    </xf>
    <xf numFmtId="0" fontId="3" fillId="13" borderId="42" xfId="0" applyFont="1" applyFill="1" applyBorder="1" applyAlignment="1">
      <alignment wrapText="1"/>
    </xf>
    <xf numFmtId="0" fontId="3" fillId="13" borderId="43" xfId="0" applyFont="1" applyFill="1" applyBorder="1" applyAlignment="1">
      <alignment wrapText="1"/>
    </xf>
    <xf numFmtId="0" fontId="3" fillId="13" borderId="66" xfId="0" applyFont="1" applyFill="1" applyBorder="1" applyAlignment="1">
      <alignment horizontal="left" vertical="center" wrapText="1"/>
    </xf>
    <xf numFmtId="0" fontId="3" fillId="13" borderId="28" xfId="0" applyFont="1" applyFill="1" applyBorder="1" applyAlignment="1">
      <alignment horizontal="left" vertical="top" wrapText="1"/>
    </xf>
    <xf numFmtId="0" fontId="3" fillId="13" borderId="42" xfId="0" applyFont="1" applyFill="1" applyBorder="1" applyAlignment="1">
      <alignment horizontal="left" vertical="top" wrapText="1"/>
    </xf>
    <xf numFmtId="0" fontId="3" fillId="13" borderId="28" xfId="0" applyFont="1" applyFill="1" applyBorder="1" applyAlignment="1">
      <alignment horizontal="left" wrapText="1"/>
    </xf>
    <xf numFmtId="0" fontId="3" fillId="13" borderId="43" xfId="0" applyFont="1" applyFill="1" applyBorder="1" applyAlignment="1">
      <alignment horizontal="left" wrapText="1"/>
    </xf>
  </cellXfs>
  <cellStyles count="5">
    <cellStyle name="Normal" xfId="0" builtinId="0"/>
    <cellStyle name="Normal 2" xfId="1" xr:uid="{00000000-0005-0000-0000-000001000000}"/>
    <cellStyle name="Normal 2 2" xfId="2" xr:uid="{7FA674AA-2C9A-4762-9AEB-C70A30A5A1CC}"/>
    <cellStyle name="Normal 3" xfId="3" xr:uid="{D61B07B5-A508-45EB-8089-1D078672591C}"/>
    <cellStyle name="Normal 4 2 2" xfId="4" xr:uid="{B55C9218-556A-44AD-81D2-C42B9C96BC55}"/>
  </cellStyles>
  <dxfs count="33">
    <dxf>
      <numFmt numFmtId="0" formatCode="General"/>
      <fill>
        <patternFill patternType="solid">
          <fgColor indexed="64"/>
          <bgColor theme="6" tint="0.39997558519241921"/>
        </patternFill>
      </fill>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indent="0" justifyLastLine="0" shrinkToFit="0" readingOrder="0"/>
    </dxf>
    <dxf>
      <numFmt numFmtId="0" formatCode="General"/>
      <alignment horizontal="left" vertical="top" textRotation="0" wrapText="1" indent="0" justifyLastLine="0" shrinkToFit="0" readingOrder="0"/>
    </dxf>
    <dxf>
      <border outline="0">
        <top style="thin">
          <color rgb="FF000000"/>
        </top>
      </border>
    </dxf>
    <dxf>
      <alignment horizontal="left" vertical="top" textRotation="0" indent="0" justifyLastLine="0" shrinkToFit="0" readingOrder="0"/>
    </dxf>
    <dxf>
      <fill>
        <patternFill patternType="solid">
          <fgColor indexed="64"/>
          <bgColor theme="0" tint="-0.34998626667073579"/>
        </patternFill>
      </fill>
      <alignment horizontal="general" vertical="top" textRotation="0" wrapText="1" indent="0" justifyLastLine="0" shrinkToFit="0" readingOrder="0"/>
    </dxf>
    <dxf>
      <numFmt numFmtId="0" formatCode="General"/>
      <fill>
        <patternFill patternType="solid">
          <fgColor indexed="64"/>
          <bgColor theme="6" tint="0.39997558519241921"/>
        </patternFill>
      </fill>
      <alignment horizontal="left" vertical="top" textRotation="0" indent="0" justifyLastLine="0" shrinkToFit="0" readingOrder="0"/>
    </dxf>
    <dxf>
      <alignment horizontal="left" vertical="top" textRotation="0" indent="0" justifyLastLine="0" shrinkToFit="0" readingOrder="0"/>
    </dxf>
    <dxf>
      <numFmt numFmtId="0" formatCode="General"/>
      <fill>
        <patternFill>
          <fgColor indexed="64"/>
          <bgColor theme="6" tint="0.39997558519241921"/>
        </patternFill>
      </fill>
      <alignment horizontal="left" vertical="top"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top style="thin">
          <color rgb="FF000000"/>
        </top>
      </border>
    </dxf>
    <dxf>
      <alignment horizontal="left" vertical="top" textRotation="0" indent="0" justifyLastLine="0" shrinkToFit="0" readingOrder="0"/>
    </dxf>
    <dxf>
      <fill>
        <patternFill patternType="solid">
          <fgColor indexed="64"/>
          <bgColor theme="0" tint="-0.34998626667073579"/>
        </patternFill>
      </fill>
      <alignment horizontal="general" vertical="center"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indent="0" justifyLastLine="0" shrinkToFit="0" readingOrder="0"/>
    </dxf>
    <dxf>
      <border outline="0">
        <top style="thin">
          <color indexed="64"/>
        </top>
      </border>
    </dxf>
    <dxf>
      <alignment horizontal="left" vertical="top" textRotation="0" indent="0" justifyLastLine="0" shrinkToFit="0" readingOrder="0"/>
    </dxf>
    <dxf>
      <font>
        <strike val="0"/>
        <outline val="0"/>
        <shadow val="0"/>
        <u val="none"/>
        <vertAlign val="baseline"/>
        <sz val="12"/>
        <color theme="1"/>
        <name val="Arial"/>
        <family val="2"/>
        <scheme val="none"/>
      </font>
      <fill>
        <patternFill patternType="solid">
          <fgColor indexed="64"/>
          <bgColor theme="0" tint="-0.34998626667073579"/>
        </patternFill>
      </fill>
      <alignment horizontal="general" vertical="top" textRotation="0" wrapText="1" indent="0" justifyLastLine="0" shrinkToFit="0" readingOrder="0"/>
    </dxf>
    <dxf>
      <fill>
        <patternFill patternType="solid">
          <fgColor theme="4" tint="0.59999389629810485"/>
          <bgColor theme="4" tint="0.59999389629810485"/>
        </patternFill>
      </fill>
    </dxf>
    <dxf>
      <fill>
        <patternFill patternType="solid">
          <fgColor theme="4" tint="0.59999389629810485"/>
          <bgColor theme="0"/>
        </patternFill>
      </fill>
    </dxf>
    <dxf>
      <font>
        <b/>
        <color theme="0"/>
      </font>
      <fill>
        <patternFill patternType="solid">
          <fgColor theme="4"/>
          <bgColor theme="4"/>
        </patternFill>
      </fill>
    </dxf>
    <dxf>
      <font>
        <b/>
        <color theme="0"/>
      </font>
      <fill>
        <patternFill patternType="solid">
          <fgColor theme="4"/>
          <bgColor theme="4"/>
        </patternFill>
      </fill>
    </dxf>
    <dxf>
      <font>
        <b/>
        <color theme="0"/>
      </font>
      <fill>
        <patternFill patternType="solid">
          <fgColor theme="4"/>
          <bgColor theme="4"/>
        </patternFill>
      </fill>
      <border>
        <top style="thick">
          <color theme="0"/>
        </top>
      </border>
    </dxf>
    <dxf>
      <font>
        <b/>
        <color theme="0"/>
      </font>
      <fill>
        <patternFill patternType="solid">
          <fgColor theme="4"/>
          <bgColor theme="4"/>
        </patternFill>
      </fill>
      <border>
        <bottom style="thick">
          <color theme="0"/>
        </bottom>
      </border>
    </dxf>
    <dxf>
      <font>
        <color theme="1"/>
      </font>
      <fill>
        <patternFill patternType="solid">
          <fgColor theme="4" tint="0.79998168889431442"/>
          <bgColor theme="4" tint="0.79998168889431442"/>
        </patternFill>
      </fill>
      <border>
        <vertical style="thin">
          <color theme="0"/>
        </vertical>
        <horizontal style="thin">
          <color theme="0"/>
        </horizontal>
      </border>
    </dxf>
  </dxfs>
  <tableStyles count="1" defaultTableStyle="TableStyleMedium9" defaultPivotStyle="PivotStyleLight16">
    <tableStyle name="Questionnaire" pivot="0" count="7" xr9:uid="{B520964C-EA64-4D90-8B6C-065F1D7FEF62}">
      <tableStyleElement type="wholeTable" dxfId="32"/>
      <tableStyleElement type="headerRow" dxfId="31"/>
      <tableStyleElement type="totalRow" dxfId="30"/>
      <tableStyleElement type="firstColumn" dxfId="29"/>
      <tableStyleElement type="lastColumn" dxfId="28"/>
      <tableStyleElement type="firstRowStripe" dxfId="27"/>
      <tableStyleElement type="firstColumnStripe" dxfId="26"/>
    </tableStyle>
  </tableStyles>
  <colors>
    <mruColors>
      <color rgb="FFFFFCD6"/>
      <color rgb="FFFFFF99"/>
      <color rgb="FF2BF53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65315</xdr:colOff>
      <xdr:row>17</xdr:row>
      <xdr:rowOff>5444</xdr:rowOff>
    </xdr:from>
    <xdr:to>
      <xdr:col>5</xdr:col>
      <xdr:colOff>2421959</xdr:colOff>
      <xdr:row>38</xdr:row>
      <xdr:rowOff>126681</xdr:rowOff>
    </xdr:to>
    <xdr:pic>
      <xdr:nvPicPr>
        <xdr:cNvPr id="2" name="Picture 1">
          <a:extLst>
            <a:ext uri="{FF2B5EF4-FFF2-40B4-BE49-F238E27FC236}">
              <a16:creationId xmlns:a16="http://schemas.microsoft.com/office/drawing/2014/main" id="{CE8C66A8-FE06-425E-AD3E-CEC387E6604E}"/>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1" y="5829301"/>
          <a:ext cx="5192372" cy="4578937"/>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2EDF5BF-826C-416C-AAB0-188EC5479498}" name="Table_Processes" displayName="Table_Processes" ref="A2:E92" totalsRowShown="0" headerRowDxfId="25" dataDxfId="24" tableBorderDxfId="23">
  <autoFilter ref="A2:E92" xr:uid="{8023EEE9-4A1B-4F21-A25D-5792716131D0}"/>
  <tableColumns count="5">
    <tableColumn id="1" xr3:uid="{332810CD-E0E6-4B22-8734-469E3DE611B0}" name="P ID" dataDxfId="22"/>
    <tableColumn id="2" xr3:uid="{30AB59AE-72E8-4322-A6CC-50BEAC06FB6F}" name="Process Level" dataDxfId="21"/>
    <tableColumn id="13" xr3:uid="{526F3539-8C22-48D6-90F6-6D408A841416}" name="PL1 Process Group" dataDxfId="20"/>
    <tableColumn id="14" xr3:uid="{685608EB-4C83-41B6-83FA-8CBCABB71255}" name="PL2 Process Category/ Variant" dataDxfId="19"/>
    <tableColumn id="17" xr3:uid="{44180502-E0F0-4414-ADA8-EBD93CA188DF}" name="Comment/ Description" dataDxfId="18"/>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90A1406-18C8-4A56-BC22-300C481E20CD}" name="Table_Mappings" displayName="Table_Mappings" ref="A2:E196" totalsRowShown="0" headerRowDxfId="17" dataDxfId="16" tableBorderDxfId="15">
  <autoFilter ref="A2:E196" xr:uid="{8023EEE9-4A1B-4F21-A25D-5792716131D0}">
    <filterColumn colId="2">
      <filters>
        <filter val="10.01 Donor Funding Compliance"/>
        <filter val="10.02 Donor Funding - Procurement Tracking"/>
        <filter val="10.03 Donor Funding - Warehousing Tracking"/>
        <filter val="10.04 Donor Funding - Distribution Tracking"/>
        <filter val="10.05 Donor Reporting"/>
        <filter val="10.06 Consortium Funding - Procurement Tracking"/>
        <filter val="10.07 Consortium Funding - Distribution to Beneficiaries Tracking"/>
        <filter val="10.08 Consortium Funding - Distribution to Partners Tracking"/>
        <filter val="10.09 Consortium Reporting"/>
      </filters>
    </filterColumn>
  </autoFilter>
  <tableColumns count="5">
    <tableColumn id="1" xr3:uid="{A821589E-D917-4126-A441-B50BB181CFAE}" name="M ID" dataDxfId="14"/>
    <tableColumn id="3" xr3:uid="{A74F7CA1-BE10-4D0F-B15D-75852F7C86CB}" name="Process ID" dataDxfId="13"/>
    <tableColumn id="9" xr3:uid="{A905F03A-8C20-4D7A-8494-B696215F07E3}" name="CALC: PL2 Process Category/ Variant" dataDxfId="12">
      <calculatedColumnFormula>IFERROR(VLOOKUP(Table_Mappings[[#This Row],[Process ID]],Table_Processes[],4,FALSE),"")</calculatedColumnFormula>
    </tableColumn>
    <tableColumn id="4" xr3:uid="{6F2D8D8E-7488-4B11-AE90-1790AF190AE1}" name="Data ID" dataDxfId="11"/>
    <tableColumn id="15" xr3:uid="{9291C4FF-4881-4CF1-8623-A3236FD04D21}" name="CALC: DL1 Data Entity Group" dataDxfId="10">
      <calculatedColumnFormula>IFERROR(VLOOKUP(Table_Mappings[[#This Row],[Data ID]],Table_Data[],3,FALSE),"")</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EF3EE3C-2654-4741-BA46-AA1FCB242A33}" name="Table_Data" displayName="Table_Data" ref="A2:G1214" totalsRowShown="0" headerRowDxfId="9" dataDxfId="8" tableBorderDxfId="7">
  <autoFilter ref="A2:G1214" xr:uid="{F9533B53-4AE2-43C7-89B3-C68D583825E0}"/>
  <tableColumns count="7">
    <tableColumn id="17" xr3:uid="{B4A4AA8A-398B-4C25-B925-B4468FD8B82A}" name="D ID" dataDxfId="6"/>
    <tableColumn id="5" xr3:uid="{554F27F7-68A5-4505-8503-4129A28A5D04}" name="Item Level" dataDxfId="5"/>
    <tableColumn id="6" xr3:uid="{3E01C472-6B9B-42AE-A988-8D8F12E29DEE}" name="DL1 Data Entity Group Name" dataDxfId="4"/>
    <tableColumn id="7" xr3:uid="{49818A2A-3EF4-48B1-A99C-B3A03806A879}" name="DL2 Data Entity Name" dataDxfId="3"/>
    <tableColumn id="14" xr3:uid="{E4038EA4-287B-457F-8308-04421F2E0231}" name="DL3 Data Element Name" dataDxfId="2"/>
    <tableColumn id="4" xr3:uid="{1DADEFAA-F294-4292-8078-521E6872BBC2}" name="Description" dataDxfId="1"/>
    <tableColumn id="18" xr3:uid="{192A8729-9EE3-470D-AE39-D1FF15DF4420}" name="CALC: Used in PL2 Process Category/ Variant" dataDxfId="0">
      <calculatedColumnFormula array="1">MultiMatchPrefix(Table_Data[[#This Row],[D ID]],Table_Mappings[Data ID],0,"",TRUE,";
")</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35B3D-B76C-466A-8D64-659DE5B31616}">
  <sheetPr codeName="Sheet1">
    <tabColor rgb="FF00B050"/>
  </sheetPr>
  <dimension ref="A1:L67"/>
  <sheetViews>
    <sheetView topLeftCell="A13" workbookViewId="0">
      <selection activeCell="N17" sqref="N17"/>
    </sheetView>
  </sheetViews>
  <sheetFormatPr defaultColWidth="8.7265625" defaultRowHeight="15.5" x14ac:dyDescent="0.35"/>
  <cols>
    <col min="1" max="1" width="2.7265625" style="133" customWidth="1"/>
    <col min="2" max="2" width="3.26953125" style="133" customWidth="1"/>
    <col min="3" max="3" width="3.1796875" style="133" customWidth="1"/>
    <col min="4" max="4" width="16" style="133" customWidth="1"/>
    <col min="5" max="5" width="17.7265625" style="133" customWidth="1"/>
    <col min="6" max="6" width="40.81640625" style="133" customWidth="1"/>
    <col min="7" max="7" width="4.54296875" style="133" customWidth="1"/>
    <col min="8" max="8" width="15.26953125" style="133" customWidth="1"/>
    <col min="9" max="9" width="10.7265625" style="133" customWidth="1"/>
    <col min="10" max="10" width="3.81640625" style="133" customWidth="1"/>
    <col min="11" max="11" width="33.1796875" style="133" customWidth="1"/>
    <col min="12" max="16384" width="8.7265625" style="133"/>
  </cols>
  <sheetData>
    <row r="1" spans="1:12" x14ac:dyDescent="0.35">
      <c r="A1" s="160"/>
      <c r="B1" s="130"/>
      <c r="C1" s="131"/>
      <c r="D1" s="131" t="s">
        <v>0</v>
      </c>
      <c r="E1" s="132" t="s">
        <v>1</v>
      </c>
      <c r="F1" s="131" t="s">
        <v>2</v>
      </c>
      <c r="G1" s="240">
        <v>44050</v>
      </c>
      <c r="H1" s="240"/>
      <c r="I1" s="160"/>
      <c r="J1" s="160"/>
      <c r="K1" s="160"/>
      <c r="L1" s="160"/>
    </row>
    <row r="2" spans="1:12" ht="21" x14ac:dyDescent="0.5">
      <c r="A2" s="134" t="s">
        <v>3</v>
      </c>
      <c r="B2" s="160"/>
      <c r="C2" s="160"/>
      <c r="D2" s="160"/>
      <c r="E2" s="160"/>
      <c r="F2" s="160"/>
      <c r="G2" s="160"/>
      <c r="H2" s="160"/>
      <c r="I2" s="160"/>
      <c r="J2" s="160"/>
      <c r="K2" s="160"/>
      <c r="L2" s="160"/>
    </row>
    <row r="3" spans="1:12" ht="27" customHeight="1" x14ac:dyDescent="0.35">
      <c r="A3" s="160"/>
      <c r="B3" s="235" t="s">
        <v>4</v>
      </c>
      <c r="C3" s="235"/>
      <c r="D3" s="235"/>
      <c r="E3" s="235"/>
      <c r="F3" s="235"/>
      <c r="G3" s="235"/>
      <c r="H3" s="160"/>
      <c r="I3" s="160"/>
      <c r="J3" s="160"/>
      <c r="K3" s="159"/>
      <c r="L3" s="160"/>
    </row>
    <row r="4" spans="1:12" ht="5.15" customHeight="1" x14ac:dyDescent="0.35">
      <c r="A4" s="160"/>
      <c r="B4" s="241"/>
      <c r="C4" s="241"/>
      <c r="D4" s="241"/>
      <c r="E4" s="241"/>
      <c r="F4" s="241"/>
      <c r="G4" s="241"/>
      <c r="H4" s="242"/>
      <c r="I4" s="242"/>
      <c r="J4" s="160"/>
      <c r="K4" s="160"/>
      <c r="L4" s="160"/>
    </row>
    <row r="5" spans="1:12" ht="35.75" customHeight="1" x14ac:dyDescent="0.35">
      <c r="A5" s="160"/>
      <c r="B5" s="160"/>
      <c r="C5" s="234" t="s">
        <v>5</v>
      </c>
      <c r="D5" s="234"/>
      <c r="E5" s="234"/>
      <c r="F5" s="234"/>
      <c r="G5" s="234"/>
      <c r="H5" s="160"/>
      <c r="I5" s="160"/>
      <c r="J5" s="160"/>
      <c r="K5" s="159"/>
      <c r="L5" s="160"/>
    </row>
    <row r="6" spans="1:12" ht="48.65" customHeight="1" x14ac:dyDescent="0.35">
      <c r="A6" s="160"/>
      <c r="B6" s="160"/>
      <c r="C6" s="234" t="s">
        <v>6</v>
      </c>
      <c r="D6" s="234"/>
      <c r="E6" s="234"/>
      <c r="F6" s="234"/>
      <c r="G6" s="234"/>
      <c r="H6" s="160"/>
      <c r="I6" s="160"/>
      <c r="J6" s="160"/>
      <c r="K6" s="160"/>
      <c r="L6" s="160"/>
    </row>
    <row r="7" spans="1:12" ht="50" customHeight="1" x14ac:dyDescent="0.35">
      <c r="A7" s="160"/>
      <c r="B7" s="160"/>
      <c r="C7" s="234" t="s">
        <v>7</v>
      </c>
      <c r="D7" s="234"/>
      <c r="E7" s="234"/>
      <c r="F7" s="234"/>
      <c r="G7" s="234"/>
      <c r="H7" s="160"/>
      <c r="I7" s="160"/>
      <c r="J7" s="160"/>
      <c r="K7" s="160"/>
      <c r="L7" s="160"/>
    </row>
    <row r="8" spans="1:12" ht="6" customHeight="1" x14ac:dyDescent="0.35">
      <c r="A8" s="160"/>
      <c r="B8" s="235"/>
      <c r="C8" s="235"/>
      <c r="D8" s="235"/>
      <c r="E8" s="235"/>
      <c r="F8" s="235"/>
      <c r="G8" s="235"/>
      <c r="H8" s="160"/>
      <c r="I8" s="160"/>
      <c r="J8" s="160"/>
      <c r="K8" s="160"/>
      <c r="L8" s="160"/>
    </row>
    <row r="9" spans="1:12" ht="51" customHeight="1" x14ac:dyDescent="0.35">
      <c r="A9" s="160"/>
      <c r="B9" s="236" t="s">
        <v>8</v>
      </c>
      <c r="C9" s="236"/>
      <c r="D9" s="236"/>
      <c r="E9" s="236"/>
      <c r="F9" s="236"/>
      <c r="G9" s="236"/>
      <c r="H9" s="160"/>
      <c r="I9" s="160"/>
      <c r="J9" s="160"/>
      <c r="K9" s="160"/>
      <c r="L9" s="160"/>
    </row>
    <row r="10" spans="1:12" ht="7" customHeight="1" x14ac:dyDescent="0.35">
      <c r="A10" s="135"/>
      <c r="B10" s="235"/>
      <c r="C10" s="235"/>
      <c r="D10" s="235"/>
      <c r="E10" s="235"/>
      <c r="F10" s="235"/>
      <c r="G10" s="235"/>
      <c r="H10" s="160"/>
      <c r="I10" s="160"/>
      <c r="J10" s="160"/>
      <c r="K10" s="160"/>
      <c r="L10" s="160"/>
    </row>
    <row r="11" spans="1:12" x14ac:dyDescent="0.35">
      <c r="A11" s="135"/>
      <c r="B11" s="235" t="s">
        <v>9</v>
      </c>
      <c r="C11" s="235"/>
      <c r="D11" s="235"/>
      <c r="E11" s="235"/>
      <c r="F11" s="235"/>
      <c r="G11" s="235"/>
      <c r="H11" s="160"/>
      <c r="I11" s="160"/>
      <c r="J11" s="160"/>
      <c r="K11" s="160"/>
      <c r="L11" s="160"/>
    </row>
    <row r="12" spans="1:12" ht="31" customHeight="1" x14ac:dyDescent="0.35">
      <c r="A12" s="135"/>
      <c r="B12" s="160"/>
      <c r="C12" s="234" t="s">
        <v>10</v>
      </c>
      <c r="D12" s="234"/>
      <c r="E12" s="234"/>
      <c r="F12" s="234"/>
      <c r="G12" s="234"/>
      <c r="H12" s="160"/>
      <c r="I12" s="160"/>
      <c r="J12" s="160"/>
      <c r="K12" s="160"/>
      <c r="L12" s="160"/>
    </row>
    <row r="13" spans="1:12" ht="47" customHeight="1" x14ac:dyDescent="0.35">
      <c r="A13" s="135"/>
      <c r="B13" s="160"/>
      <c r="C13" s="234" t="s">
        <v>11</v>
      </c>
      <c r="D13" s="234"/>
      <c r="E13" s="234"/>
      <c r="F13" s="234"/>
      <c r="G13" s="234"/>
      <c r="H13" s="160"/>
      <c r="I13" s="160"/>
      <c r="J13" s="160"/>
      <c r="K13" s="160"/>
      <c r="L13" s="160"/>
    </row>
    <row r="14" spans="1:12" ht="33" customHeight="1" x14ac:dyDescent="0.35">
      <c r="A14" s="135"/>
      <c r="B14" s="160"/>
      <c r="C14" s="234" t="s">
        <v>12</v>
      </c>
      <c r="D14" s="234"/>
      <c r="E14" s="234"/>
      <c r="F14" s="234"/>
      <c r="G14" s="234"/>
      <c r="H14" s="160"/>
      <c r="I14" s="160"/>
      <c r="J14" s="160"/>
      <c r="K14" s="160"/>
      <c r="L14" s="160"/>
    </row>
    <row r="15" spans="1:12" x14ac:dyDescent="0.35">
      <c r="A15" s="135"/>
      <c r="B15" s="236"/>
      <c r="C15" s="236"/>
      <c r="D15" s="236"/>
      <c r="E15" s="236"/>
      <c r="F15" s="236"/>
      <c r="G15" s="236"/>
      <c r="H15" s="160"/>
      <c r="I15" s="160"/>
      <c r="J15" s="160"/>
      <c r="K15" s="160"/>
      <c r="L15" s="160"/>
    </row>
    <row r="16" spans="1:12" ht="18.5" x14ac:dyDescent="0.45">
      <c r="A16" s="136" t="s">
        <v>13</v>
      </c>
      <c r="B16" s="160"/>
      <c r="C16" s="160"/>
      <c r="D16" s="160"/>
      <c r="E16" s="160"/>
      <c r="F16" s="160"/>
      <c r="G16" s="160"/>
      <c r="H16" s="160"/>
      <c r="I16" s="160"/>
      <c r="J16" s="160"/>
      <c r="K16" s="160"/>
      <c r="L16" s="160"/>
    </row>
    <row r="17" spans="1:12" ht="32.15" customHeight="1" thickBot="1" x14ac:dyDescent="0.4">
      <c r="A17" s="160"/>
      <c r="B17" s="207" t="s">
        <v>14</v>
      </c>
      <c r="C17" s="207"/>
      <c r="D17" s="207"/>
      <c r="E17" s="207"/>
      <c r="F17" s="207"/>
      <c r="G17" s="207"/>
      <c r="H17" s="161"/>
      <c r="I17" s="160"/>
      <c r="J17" s="160"/>
      <c r="K17" s="160"/>
      <c r="L17" s="160"/>
    </row>
    <row r="18" spans="1:12" ht="16" thickBot="1" x14ac:dyDescent="0.4">
      <c r="A18" s="160"/>
      <c r="B18" s="161"/>
      <c r="C18" s="161"/>
      <c r="D18" s="161"/>
      <c r="E18" s="161"/>
      <c r="F18" s="135" t="s">
        <v>15</v>
      </c>
      <c r="G18" s="137" t="s">
        <v>15</v>
      </c>
      <c r="H18" s="138"/>
      <c r="I18" s="138"/>
      <c r="J18" s="139"/>
      <c r="K18" s="135"/>
      <c r="L18" s="160"/>
    </row>
    <row r="19" spans="1:12" x14ac:dyDescent="0.35">
      <c r="A19" s="160"/>
      <c r="B19" s="161"/>
      <c r="C19" s="161"/>
      <c r="D19" s="161"/>
      <c r="E19" s="161"/>
      <c r="F19" s="160"/>
      <c r="G19" s="140"/>
      <c r="H19" s="237" t="s">
        <v>16</v>
      </c>
      <c r="I19" s="238"/>
      <c r="J19" s="239"/>
      <c r="K19" s="160"/>
      <c r="L19" s="160"/>
    </row>
    <row r="20" spans="1:12" x14ac:dyDescent="0.35">
      <c r="A20" s="135"/>
      <c r="B20" s="161"/>
      <c r="C20" s="161"/>
      <c r="D20" s="161"/>
      <c r="E20" s="161"/>
      <c r="F20" s="160"/>
      <c r="G20" s="141"/>
      <c r="H20" s="231" t="s">
        <v>17</v>
      </c>
      <c r="I20" s="232"/>
      <c r="J20" s="233"/>
      <c r="K20" s="160"/>
      <c r="L20" s="160"/>
    </row>
    <row r="21" spans="1:12" ht="16" thickBot="1" x14ac:dyDescent="0.4">
      <c r="A21" s="160"/>
      <c r="B21" s="161"/>
      <c r="C21" s="161"/>
      <c r="D21" s="161"/>
      <c r="E21" s="161"/>
      <c r="F21" s="160"/>
      <c r="G21" s="142"/>
      <c r="H21" s="217" t="s">
        <v>18</v>
      </c>
      <c r="I21" s="218"/>
      <c r="J21" s="219"/>
      <c r="K21" s="160"/>
      <c r="L21" s="160"/>
    </row>
    <row r="22" spans="1:12" x14ac:dyDescent="0.35">
      <c r="A22" s="160"/>
      <c r="B22" s="161"/>
      <c r="C22" s="161"/>
      <c r="D22" s="161"/>
      <c r="E22" s="161"/>
      <c r="F22" s="160"/>
      <c r="G22" s="160"/>
      <c r="H22" s="160"/>
      <c r="I22" s="160"/>
      <c r="J22" s="160"/>
      <c r="K22" s="160"/>
      <c r="L22" s="160"/>
    </row>
    <row r="23" spans="1:12" x14ac:dyDescent="0.35">
      <c r="A23" s="160"/>
      <c r="B23" s="161"/>
      <c r="C23" s="161"/>
      <c r="D23" s="161"/>
      <c r="E23" s="161"/>
      <c r="F23" s="160"/>
      <c r="G23" s="160"/>
      <c r="H23" s="160"/>
      <c r="I23" s="160"/>
      <c r="J23" s="160"/>
      <c r="K23" s="160"/>
      <c r="L23" s="160"/>
    </row>
    <row r="24" spans="1:12" x14ac:dyDescent="0.35">
      <c r="A24" s="160"/>
      <c r="B24" s="161"/>
      <c r="C24" s="161"/>
      <c r="D24" s="161"/>
      <c r="E24" s="161"/>
      <c r="F24" s="160"/>
      <c r="G24" s="160"/>
      <c r="H24" s="160"/>
      <c r="I24" s="160"/>
      <c r="J24" s="160"/>
      <c r="K24" s="160"/>
      <c r="L24" s="160"/>
    </row>
    <row r="25" spans="1:12" x14ac:dyDescent="0.35">
      <c r="A25" s="160"/>
      <c r="B25" s="160"/>
      <c r="C25" s="160"/>
      <c r="D25" s="160"/>
      <c r="E25" s="160"/>
      <c r="F25" s="160"/>
      <c r="G25" s="160"/>
      <c r="H25" s="160"/>
      <c r="I25" s="160"/>
      <c r="J25" s="160"/>
      <c r="K25" s="160"/>
      <c r="L25" s="160"/>
    </row>
    <row r="26" spans="1:12" ht="16" thickBot="1" x14ac:dyDescent="0.4">
      <c r="A26" s="160"/>
      <c r="B26" s="160"/>
      <c r="C26" s="160"/>
      <c r="D26" s="160"/>
      <c r="E26" s="160"/>
      <c r="F26" s="160"/>
      <c r="G26" s="160"/>
      <c r="H26" s="135" t="s">
        <v>19</v>
      </c>
      <c r="I26" s="160"/>
      <c r="J26" s="160"/>
      <c r="K26" s="160"/>
      <c r="L26" s="160"/>
    </row>
    <row r="27" spans="1:12" ht="16" thickBot="1" x14ac:dyDescent="0.4">
      <c r="A27" s="160"/>
      <c r="B27" s="160"/>
      <c r="C27" s="160"/>
      <c r="D27" s="160"/>
      <c r="E27" s="160"/>
      <c r="F27" s="160"/>
      <c r="G27" s="160"/>
      <c r="H27" s="220" t="s">
        <v>20</v>
      </c>
      <c r="I27" s="221"/>
      <c r="J27" s="222" t="s">
        <v>21</v>
      </c>
      <c r="K27" s="223"/>
      <c r="L27" s="160"/>
    </row>
    <row r="28" spans="1:12" x14ac:dyDescent="0.35">
      <c r="A28" s="160"/>
      <c r="B28" s="160"/>
      <c r="C28" s="160"/>
      <c r="D28" s="160"/>
      <c r="E28" s="160"/>
      <c r="F28" s="160"/>
      <c r="G28" s="160"/>
      <c r="H28" s="224" t="s">
        <v>22</v>
      </c>
      <c r="I28" s="225"/>
      <c r="J28" s="143" t="s">
        <v>23</v>
      </c>
      <c r="K28" s="144"/>
      <c r="L28" s="160"/>
    </row>
    <row r="29" spans="1:12" x14ac:dyDescent="0.35">
      <c r="A29" s="160"/>
      <c r="B29" s="160"/>
      <c r="C29" s="160"/>
      <c r="D29" s="160"/>
      <c r="E29" s="160"/>
      <c r="F29" s="160"/>
      <c r="G29" s="160"/>
      <c r="H29" s="226" t="s">
        <v>24</v>
      </c>
      <c r="I29" s="227"/>
      <c r="J29" s="145"/>
      <c r="K29" s="146" t="s">
        <v>25</v>
      </c>
      <c r="L29" s="160"/>
    </row>
    <row r="30" spans="1:12" x14ac:dyDescent="0.35">
      <c r="A30" s="160"/>
      <c r="B30" s="160"/>
      <c r="C30" s="160"/>
      <c r="D30" s="160"/>
      <c r="E30" s="160"/>
      <c r="F30" s="160"/>
      <c r="G30" s="160"/>
      <c r="H30" s="226" t="s">
        <v>24</v>
      </c>
      <c r="I30" s="227"/>
      <c r="J30" s="145"/>
      <c r="K30" s="146" t="s">
        <v>26</v>
      </c>
      <c r="L30" s="160"/>
    </row>
    <row r="31" spans="1:12" ht="31" x14ac:dyDescent="0.35">
      <c r="A31" s="160"/>
      <c r="B31" s="160"/>
      <c r="C31" s="160"/>
      <c r="D31" s="160"/>
      <c r="E31" s="160"/>
      <c r="F31" s="160"/>
      <c r="G31" s="160"/>
      <c r="H31" s="226" t="s">
        <v>24</v>
      </c>
      <c r="I31" s="227"/>
      <c r="J31" s="145"/>
      <c r="K31" s="146" t="s">
        <v>27</v>
      </c>
      <c r="L31" s="160"/>
    </row>
    <row r="32" spans="1:12" ht="31.5" thickBot="1" x14ac:dyDescent="0.4">
      <c r="A32" s="160"/>
      <c r="B32" s="160"/>
      <c r="C32" s="160"/>
      <c r="D32" s="160"/>
      <c r="E32" s="160"/>
      <c r="F32" s="160"/>
      <c r="G32" s="160"/>
      <c r="H32" s="228" t="s">
        <v>24</v>
      </c>
      <c r="I32" s="229"/>
      <c r="J32" s="147"/>
      <c r="K32" s="148" t="s">
        <v>28</v>
      </c>
      <c r="L32" s="160"/>
    </row>
    <row r="33" spans="1:12" x14ac:dyDescent="0.35">
      <c r="A33" s="160"/>
      <c r="B33" s="160"/>
      <c r="C33" s="160"/>
      <c r="D33" s="160"/>
      <c r="E33" s="160"/>
      <c r="F33" s="160"/>
      <c r="G33" s="160"/>
      <c r="H33" s="160"/>
      <c r="I33" s="160"/>
      <c r="J33" s="160"/>
      <c r="K33" s="160"/>
      <c r="L33" s="160"/>
    </row>
    <row r="34" spans="1:12" x14ac:dyDescent="0.35">
      <c r="A34" s="160"/>
      <c r="B34" s="160"/>
      <c r="C34" s="160"/>
      <c r="D34" s="160"/>
      <c r="E34" s="160"/>
      <c r="F34" s="160"/>
      <c r="G34" s="160"/>
      <c r="H34" s="160"/>
      <c r="I34" s="160"/>
      <c r="J34" s="160"/>
      <c r="K34" s="160"/>
      <c r="L34" s="160"/>
    </row>
    <row r="35" spans="1:12" x14ac:dyDescent="0.35">
      <c r="A35" s="160"/>
      <c r="B35" s="160"/>
      <c r="C35" s="160"/>
      <c r="D35" s="160"/>
      <c r="E35" s="160"/>
      <c r="F35" s="160"/>
      <c r="G35" s="160"/>
      <c r="H35" s="160"/>
      <c r="I35" s="160"/>
      <c r="J35" s="160"/>
      <c r="K35" s="160"/>
      <c r="L35" s="160"/>
    </row>
    <row r="36" spans="1:12" x14ac:dyDescent="0.35">
      <c r="A36" s="160"/>
      <c r="B36" s="160"/>
      <c r="C36" s="160"/>
      <c r="D36" s="160"/>
      <c r="E36" s="160"/>
      <c r="F36" s="160"/>
      <c r="G36" s="160"/>
      <c r="H36" s="160"/>
      <c r="I36" s="160"/>
      <c r="J36" s="160"/>
      <c r="K36" s="160"/>
      <c r="L36" s="160"/>
    </row>
    <row r="37" spans="1:12" x14ac:dyDescent="0.35">
      <c r="A37" s="160"/>
      <c r="B37" s="160"/>
      <c r="C37" s="160"/>
      <c r="D37" s="160"/>
      <c r="E37" s="160"/>
      <c r="F37" s="160"/>
      <c r="G37" s="160"/>
      <c r="H37" s="160"/>
      <c r="I37" s="160"/>
      <c r="J37" s="160"/>
      <c r="K37" s="160"/>
      <c r="L37" s="160"/>
    </row>
    <row r="38" spans="1:12" x14ac:dyDescent="0.35">
      <c r="A38" s="160"/>
      <c r="B38" s="160"/>
      <c r="C38" s="160"/>
      <c r="D38" s="160"/>
      <c r="E38" s="160"/>
      <c r="F38" s="160"/>
      <c r="G38" s="160"/>
      <c r="H38" s="160"/>
      <c r="I38" s="160"/>
      <c r="J38" s="160"/>
      <c r="K38" s="160"/>
      <c r="L38" s="160"/>
    </row>
    <row r="39" spans="1:12" x14ac:dyDescent="0.35">
      <c r="A39" s="160"/>
      <c r="B39" s="160"/>
      <c r="C39" s="160"/>
      <c r="D39" s="160"/>
      <c r="E39" s="160"/>
      <c r="F39" s="160"/>
      <c r="G39" s="160"/>
      <c r="H39" s="160"/>
      <c r="I39" s="160"/>
      <c r="J39" s="160"/>
      <c r="K39" s="160"/>
      <c r="L39" s="160"/>
    </row>
    <row r="40" spans="1:12" ht="33.5" customHeight="1" x14ac:dyDescent="0.35">
      <c r="A40" s="160"/>
      <c r="B40" s="230" t="s">
        <v>29</v>
      </c>
      <c r="C40" s="230"/>
      <c r="D40" s="230"/>
      <c r="E40" s="230"/>
      <c r="F40" s="230"/>
      <c r="G40" s="230"/>
      <c r="H40" s="160"/>
      <c r="I40" s="160"/>
      <c r="J40" s="160"/>
      <c r="K40" s="160"/>
      <c r="L40" s="160"/>
    </row>
    <row r="41" spans="1:12" ht="5.15" customHeight="1" x14ac:dyDescent="0.35">
      <c r="A41" s="160"/>
      <c r="B41" s="164"/>
      <c r="C41" s="164"/>
      <c r="D41" s="164"/>
      <c r="E41" s="164"/>
      <c r="F41" s="164"/>
      <c r="G41" s="164"/>
      <c r="H41" s="160"/>
      <c r="I41" s="160"/>
      <c r="J41" s="160"/>
      <c r="K41" s="160"/>
      <c r="L41" s="160"/>
    </row>
    <row r="42" spans="1:12" ht="63.5" customHeight="1" x14ac:dyDescent="0.35">
      <c r="A42" s="160"/>
      <c r="B42" s="208" t="s">
        <v>30</v>
      </c>
      <c r="C42" s="208"/>
      <c r="D42" s="208"/>
      <c r="E42" s="216" t="s">
        <v>31</v>
      </c>
      <c r="F42" s="216"/>
      <c r="G42" s="216"/>
      <c r="H42" s="160"/>
      <c r="I42" s="160"/>
      <c r="J42" s="160"/>
      <c r="K42" s="159"/>
      <c r="L42" s="160"/>
    </row>
    <row r="43" spans="1:12" ht="46" customHeight="1" x14ac:dyDescent="0.35">
      <c r="A43" s="160"/>
      <c r="B43" s="208" t="s">
        <v>32</v>
      </c>
      <c r="C43" s="208"/>
      <c r="D43" s="208"/>
      <c r="E43" s="216" t="s">
        <v>33</v>
      </c>
      <c r="F43" s="216"/>
      <c r="G43" s="216"/>
      <c r="H43" s="160"/>
      <c r="I43" s="160"/>
      <c r="J43" s="160"/>
      <c r="K43" s="159"/>
      <c r="L43" s="160"/>
    </row>
    <row r="44" spans="1:12" ht="5.25" customHeight="1" x14ac:dyDescent="0.35">
      <c r="A44" s="160"/>
      <c r="B44" s="162"/>
      <c r="C44" s="162"/>
      <c r="D44" s="162"/>
      <c r="E44" s="163"/>
      <c r="F44" s="163"/>
      <c r="G44" s="163"/>
      <c r="H44" s="160"/>
      <c r="I44" s="160"/>
      <c r="J44" s="160"/>
      <c r="K44" s="159"/>
      <c r="L44" s="160"/>
    </row>
    <row r="45" spans="1:12" ht="32" customHeight="1" x14ac:dyDescent="0.35">
      <c r="A45" s="160"/>
      <c r="B45" s="207" t="s">
        <v>34</v>
      </c>
      <c r="C45" s="207"/>
      <c r="D45" s="207"/>
      <c r="E45" s="207"/>
      <c r="F45" s="207"/>
      <c r="G45" s="207"/>
      <c r="H45" s="160"/>
      <c r="I45" s="160"/>
      <c r="J45" s="160"/>
      <c r="K45" s="160"/>
      <c r="L45" s="160"/>
    </row>
    <row r="46" spans="1:12" x14ac:dyDescent="0.35">
      <c r="A46" s="160"/>
      <c r="B46" s="161"/>
      <c r="C46" s="161"/>
      <c r="D46" s="161"/>
      <c r="E46" s="161"/>
      <c r="F46" s="161"/>
      <c r="G46" s="161"/>
      <c r="H46" s="160"/>
      <c r="I46" s="160"/>
      <c r="J46" s="160"/>
      <c r="K46" s="160"/>
      <c r="L46" s="160"/>
    </row>
    <row r="47" spans="1:12" ht="18.5" x14ac:dyDescent="0.45">
      <c r="A47" s="136" t="s">
        <v>35</v>
      </c>
      <c r="B47" s="160"/>
      <c r="C47" s="160"/>
      <c r="D47" s="160"/>
      <c r="E47" s="160"/>
      <c r="F47" s="160"/>
      <c r="G47" s="160"/>
      <c r="H47" s="160"/>
      <c r="I47" s="160"/>
      <c r="J47" s="160"/>
      <c r="K47" s="160"/>
      <c r="L47" s="160"/>
    </row>
    <row r="48" spans="1:12" ht="31.4" customHeight="1" x14ac:dyDescent="0.35">
      <c r="A48" s="135"/>
      <c r="B48" s="207" t="s">
        <v>36</v>
      </c>
      <c r="C48" s="207"/>
      <c r="D48" s="207"/>
      <c r="E48" s="207"/>
      <c r="F48" s="207"/>
      <c r="G48" s="207"/>
      <c r="H48" s="160"/>
      <c r="I48" s="160"/>
      <c r="J48" s="160"/>
      <c r="K48" s="160"/>
      <c r="L48" s="160"/>
    </row>
    <row r="49" spans="1:12" ht="8.15" customHeight="1" x14ac:dyDescent="0.35">
      <c r="A49" s="160"/>
      <c r="B49" s="160"/>
      <c r="C49" s="160"/>
      <c r="D49" s="160"/>
      <c r="E49" s="160"/>
      <c r="F49" s="160"/>
      <c r="G49" s="160"/>
      <c r="H49" s="160"/>
      <c r="I49" s="160"/>
      <c r="J49" s="160"/>
      <c r="K49" s="160"/>
      <c r="L49" s="160"/>
    </row>
    <row r="50" spans="1:12" ht="44" customHeight="1" x14ac:dyDescent="0.35">
      <c r="A50" s="160"/>
      <c r="B50" s="208" t="s">
        <v>37</v>
      </c>
      <c r="C50" s="208"/>
      <c r="D50" s="208"/>
      <c r="E50" s="209" t="s">
        <v>38</v>
      </c>
      <c r="F50" s="209"/>
      <c r="G50" s="209"/>
      <c r="H50" s="160"/>
      <c r="I50" s="160"/>
      <c r="J50" s="160"/>
      <c r="K50" s="160"/>
      <c r="L50" s="160"/>
    </row>
    <row r="51" spans="1:12" ht="66" customHeight="1" x14ac:dyDescent="0.35">
      <c r="A51" s="160"/>
      <c r="B51" s="208" t="s">
        <v>39</v>
      </c>
      <c r="C51" s="208"/>
      <c r="D51" s="208"/>
      <c r="E51" s="210" t="s">
        <v>40</v>
      </c>
      <c r="F51" s="210"/>
      <c r="G51" s="210"/>
      <c r="H51" s="160"/>
      <c r="I51" s="160"/>
      <c r="J51" s="160"/>
      <c r="K51" s="160"/>
      <c r="L51" s="160"/>
    </row>
    <row r="52" spans="1:12" ht="31.4" customHeight="1" x14ac:dyDescent="0.35">
      <c r="A52" s="160"/>
      <c r="B52" s="208" t="s">
        <v>41</v>
      </c>
      <c r="C52" s="208"/>
      <c r="D52" s="208"/>
      <c r="E52" s="210" t="s">
        <v>42</v>
      </c>
      <c r="F52" s="210"/>
      <c r="G52" s="210"/>
      <c r="H52" s="160"/>
      <c r="I52" s="160"/>
      <c r="J52" s="160"/>
      <c r="K52" s="160"/>
      <c r="L52" s="160"/>
    </row>
    <row r="53" spans="1:12" ht="9" customHeight="1" x14ac:dyDescent="0.35">
      <c r="A53" s="160"/>
      <c r="B53" s="160"/>
      <c r="C53" s="160"/>
      <c r="D53" s="160"/>
      <c r="E53" s="160"/>
      <c r="F53" s="160"/>
      <c r="G53" s="160"/>
      <c r="H53" s="160"/>
      <c r="I53" s="160"/>
      <c r="J53" s="160"/>
      <c r="K53" s="160"/>
      <c r="L53" s="160"/>
    </row>
    <row r="54" spans="1:12" ht="32" customHeight="1" x14ac:dyDescent="0.35">
      <c r="A54" s="160"/>
      <c r="B54" s="207" t="s">
        <v>43</v>
      </c>
      <c r="C54" s="207"/>
      <c r="D54" s="207"/>
      <c r="E54" s="207"/>
      <c r="F54" s="207"/>
      <c r="G54" s="207"/>
      <c r="H54" s="160"/>
      <c r="I54" s="160"/>
      <c r="J54" s="160"/>
      <c r="K54" s="160"/>
      <c r="L54" s="160"/>
    </row>
    <row r="55" spans="1:12" ht="8.75" customHeight="1" x14ac:dyDescent="0.35">
      <c r="A55" s="160"/>
      <c r="B55" s="161"/>
      <c r="C55" s="161"/>
      <c r="D55" s="161"/>
      <c r="E55" s="161"/>
      <c r="F55" s="161"/>
      <c r="G55" s="161"/>
      <c r="H55" s="160"/>
      <c r="I55" s="160"/>
      <c r="J55" s="160"/>
      <c r="K55" s="160"/>
      <c r="L55" s="160"/>
    </row>
    <row r="56" spans="1:12" x14ac:dyDescent="0.35">
      <c r="A56" s="160"/>
      <c r="B56" s="160" t="s">
        <v>44</v>
      </c>
      <c r="C56" s="160"/>
      <c r="D56" s="160"/>
      <c r="E56" s="160"/>
      <c r="F56" s="160"/>
      <c r="G56" s="160"/>
      <c r="H56" s="160"/>
      <c r="I56" s="160"/>
      <c r="J56" s="160"/>
      <c r="K56" s="160"/>
      <c r="L56" s="160"/>
    </row>
    <row r="57" spans="1:12" ht="6.5" customHeight="1" thickBot="1" x14ac:dyDescent="0.4">
      <c r="A57" s="160"/>
      <c r="B57" s="160"/>
      <c r="C57" s="160"/>
      <c r="D57" s="160"/>
      <c r="E57" s="160"/>
      <c r="F57" s="160"/>
      <c r="G57" s="160"/>
      <c r="H57" s="160"/>
      <c r="I57" s="160"/>
      <c r="J57" s="160"/>
      <c r="K57" s="160"/>
      <c r="L57" s="160"/>
    </row>
    <row r="58" spans="1:12" ht="16" thickBot="1" x14ac:dyDescent="0.4">
      <c r="A58" s="160"/>
      <c r="B58" s="160"/>
      <c r="C58" s="211" t="s">
        <v>45</v>
      </c>
      <c r="D58" s="212"/>
      <c r="E58" s="149" t="s">
        <v>46</v>
      </c>
      <c r="F58" s="213" t="s">
        <v>47</v>
      </c>
      <c r="G58" s="214"/>
      <c r="H58" s="215"/>
      <c r="I58" s="160"/>
      <c r="J58" s="160"/>
      <c r="K58" s="160"/>
      <c r="L58" s="160"/>
    </row>
    <row r="59" spans="1:12" ht="61.4" customHeight="1" x14ac:dyDescent="0.35">
      <c r="A59" s="160"/>
      <c r="B59" s="160"/>
      <c r="C59" s="202" t="s">
        <v>48</v>
      </c>
      <c r="D59" s="203"/>
      <c r="E59" s="150" t="s">
        <v>49</v>
      </c>
      <c r="F59" s="204" t="s">
        <v>50</v>
      </c>
      <c r="G59" s="205"/>
      <c r="H59" s="206"/>
      <c r="I59" s="160"/>
      <c r="J59" s="160"/>
      <c r="K59" s="160"/>
      <c r="L59" s="160"/>
    </row>
    <row r="60" spans="1:12" ht="16" customHeight="1" x14ac:dyDescent="0.35">
      <c r="A60" s="160"/>
      <c r="B60" s="160"/>
      <c r="C60" s="191" t="s">
        <v>51</v>
      </c>
      <c r="D60" s="192"/>
      <c r="E60" s="151" t="s">
        <v>52</v>
      </c>
      <c r="F60" s="199" t="s">
        <v>53</v>
      </c>
      <c r="G60" s="200"/>
      <c r="H60" s="201"/>
      <c r="I60" s="160"/>
      <c r="J60" s="160"/>
      <c r="K60" s="160"/>
      <c r="L60" s="160"/>
    </row>
    <row r="61" spans="1:12" ht="45" customHeight="1" x14ac:dyDescent="0.35">
      <c r="A61" s="160"/>
      <c r="B61" s="160"/>
      <c r="C61" s="191" t="s">
        <v>54</v>
      </c>
      <c r="D61" s="192"/>
      <c r="E61" s="151" t="s">
        <v>55</v>
      </c>
      <c r="F61" s="199" t="s">
        <v>56</v>
      </c>
      <c r="G61" s="200"/>
      <c r="H61" s="201"/>
      <c r="I61" s="160"/>
      <c r="J61" s="160"/>
      <c r="K61" s="160"/>
      <c r="L61" s="160"/>
    </row>
    <row r="62" spans="1:12" ht="48" customHeight="1" x14ac:dyDescent="0.35">
      <c r="A62" s="160"/>
      <c r="B62" s="160"/>
      <c r="C62" s="191" t="s">
        <v>57</v>
      </c>
      <c r="D62" s="192"/>
      <c r="E62" s="151" t="s">
        <v>58</v>
      </c>
      <c r="F62" s="199" t="s">
        <v>59</v>
      </c>
      <c r="G62" s="200"/>
      <c r="H62" s="201"/>
      <c r="I62" s="160"/>
      <c r="J62" s="160"/>
      <c r="K62" s="160"/>
      <c r="L62" s="160"/>
    </row>
    <row r="63" spans="1:12" ht="52.4" customHeight="1" x14ac:dyDescent="0.35">
      <c r="A63" s="160"/>
      <c r="B63" s="160"/>
      <c r="C63" s="191" t="s">
        <v>60</v>
      </c>
      <c r="D63" s="192"/>
      <c r="E63" s="150" t="s">
        <v>61</v>
      </c>
      <c r="F63" s="193" t="s">
        <v>62</v>
      </c>
      <c r="G63" s="194"/>
      <c r="H63" s="195"/>
      <c r="I63" s="160"/>
      <c r="J63" s="160"/>
      <c r="K63" s="160"/>
      <c r="L63" s="160"/>
    </row>
    <row r="64" spans="1:12" ht="56" customHeight="1" x14ac:dyDescent="0.35">
      <c r="A64" s="160"/>
      <c r="B64" s="160"/>
      <c r="C64" s="191" t="s">
        <v>63</v>
      </c>
      <c r="D64" s="192"/>
      <c r="E64" s="151" t="s">
        <v>64</v>
      </c>
      <c r="F64" s="196" t="s">
        <v>65</v>
      </c>
      <c r="G64" s="197"/>
      <c r="H64" s="198"/>
      <c r="I64" s="160"/>
      <c r="J64" s="160"/>
      <c r="K64" s="160"/>
      <c r="L64" s="160"/>
    </row>
    <row r="65" spans="1:12" ht="16" customHeight="1" x14ac:dyDescent="0.35">
      <c r="A65" s="160"/>
      <c r="B65" s="160"/>
      <c r="C65" s="191" t="s">
        <v>66</v>
      </c>
      <c r="D65" s="192"/>
      <c r="E65" s="163" t="s">
        <v>67</v>
      </c>
      <c r="F65" s="196" t="s">
        <v>68</v>
      </c>
      <c r="G65" s="197"/>
      <c r="H65" s="198"/>
      <c r="I65" s="160"/>
      <c r="J65" s="160"/>
      <c r="K65" s="160"/>
      <c r="L65" s="160"/>
    </row>
    <row r="66" spans="1:12" ht="32.15" customHeight="1" thickBot="1" x14ac:dyDescent="0.4">
      <c r="A66" s="160"/>
      <c r="B66" s="160"/>
      <c r="C66" s="186" t="s">
        <v>69</v>
      </c>
      <c r="D66" s="187"/>
      <c r="E66" s="152" t="s">
        <v>70</v>
      </c>
      <c r="F66" s="188" t="s">
        <v>71</v>
      </c>
      <c r="G66" s="189"/>
      <c r="H66" s="190"/>
      <c r="I66" s="160"/>
      <c r="J66" s="160"/>
      <c r="K66" s="160"/>
      <c r="L66" s="160"/>
    </row>
    <row r="67" spans="1:12" x14ac:dyDescent="0.35">
      <c r="A67" s="160"/>
      <c r="B67" s="160"/>
      <c r="C67" s="162"/>
      <c r="D67" s="162"/>
      <c r="E67" s="163"/>
      <c r="F67" s="165"/>
      <c r="G67" s="165"/>
      <c r="H67" s="165"/>
      <c r="I67" s="160"/>
      <c r="J67" s="160"/>
      <c r="K67" s="160"/>
      <c r="L67" s="160"/>
    </row>
  </sheetData>
  <mergeCells count="58">
    <mergeCell ref="C6:G6"/>
    <mergeCell ref="G1:H1"/>
    <mergeCell ref="B3:G3"/>
    <mergeCell ref="B4:G4"/>
    <mergeCell ref="H4:I4"/>
    <mergeCell ref="C5:G5"/>
    <mergeCell ref="H20:J20"/>
    <mergeCell ref="C7:G7"/>
    <mergeCell ref="B8:G8"/>
    <mergeCell ref="B9:G9"/>
    <mergeCell ref="B10:G10"/>
    <mergeCell ref="B11:G11"/>
    <mergeCell ref="C12:G12"/>
    <mergeCell ref="C13:G13"/>
    <mergeCell ref="C14:G14"/>
    <mergeCell ref="B15:G15"/>
    <mergeCell ref="B17:G17"/>
    <mergeCell ref="H19:J19"/>
    <mergeCell ref="B43:D43"/>
    <mergeCell ref="E43:G43"/>
    <mergeCell ref="H21:J21"/>
    <mergeCell ref="H27:I27"/>
    <mergeCell ref="J27:K27"/>
    <mergeCell ref="H28:I28"/>
    <mergeCell ref="H29:I29"/>
    <mergeCell ref="H30:I30"/>
    <mergeCell ref="H31:I31"/>
    <mergeCell ref="H32:I32"/>
    <mergeCell ref="B40:G40"/>
    <mergeCell ref="B42:D42"/>
    <mergeCell ref="E42:G42"/>
    <mergeCell ref="C59:D59"/>
    <mergeCell ref="F59:H59"/>
    <mergeCell ref="B45:G45"/>
    <mergeCell ref="B48:G48"/>
    <mergeCell ref="B50:D50"/>
    <mergeCell ref="E50:G50"/>
    <mergeCell ref="B51:D51"/>
    <mergeCell ref="E51:G51"/>
    <mergeCell ref="B52:D52"/>
    <mergeCell ref="E52:G52"/>
    <mergeCell ref="B54:G54"/>
    <mergeCell ref="C58:D58"/>
    <mergeCell ref="F58:H58"/>
    <mergeCell ref="C60:D60"/>
    <mergeCell ref="F60:H60"/>
    <mergeCell ref="C61:D61"/>
    <mergeCell ref="F61:H61"/>
    <mergeCell ref="C62:D62"/>
    <mergeCell ref="F62:H62"/>
    <mergeCell ref="C66:D66"/>
    <mergeCell ref="F66:H66"/>
    <mergeCell ref="C63:D63"/>
    <mergeCell ref="F63:H63"/>
    <mergeCell ref="C64:D64"/>
    <mergeCell ref="F64:H64"/>
    <mergeCell ref="C65:D65"/>
    <mergeCell ref="F65:H65"/>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2C0A9-5C55-4786-A103-150057D0434D}">
  <sheetPr codeName="Sheet2">
    <tabColor rgb="FFFFC000"/>
  </sheetPr>
  <dimension ref="A1:I92"/>
  <sheetViews>
    <sheetView workbookViewId="0">
      <pane xSplit="6" ySplit="2" topLeftCell="G3" activePane="bottomRight" state="frozen"/>
      <selection pane="topRight" activeCell="G1" sqref="G1"/>
      <selection pane="bottomLeft" activeCell="A3" sqref="A3"/>
      <selection pane="bottomRight" activeCell="G3" sqref="G3"/>
    </sheetView>
  </sheetViews>
  <sheetFormatPr defaultColWidth="8.7265625" defaultRowHeight="12.5" x14ac:dyDescent="0.25"/>
  <cols>
    <col min="1" max="1" width="6.26953125" customWidth="1"/>
    <col min="2" max="2" width="9.7265625" style="18" customWidth="1"/>
    <col min="3" max="3" width="21.54296875" style="10" customWidth="1"/>
    <col min="4" max="4" width="26.90625" style="10" customWidth="1"/>
    <col min="5" max="5" width="51.6328125" style="10" customWidth="1"/>
    <col min="6" max="6" width="7" customWidth="1"/>
    <col min="7" max="7" width="26.36328125" style="6" customWidth="1"/>
    <col min="8" max="8" width="43.81640625" style="6" customWidth="1"/>
    <col min="9" max="9" width="43.08984375" style="6" customWidth="1"/>
  </cols>
  <sheetData>
    <row r="1" spans="1:9" ht="32.5" x14ac:dyDescent="0.25">
      <c r="A1" s="21"/>
      <c r="B1" s="21"/>
      <c r="C1" s="21"/>
      <c r="D1" s="30" t="s">
        <v>72</v>
      </c>
      <c r="E1" s="21"/>
      <c r="G1" s="177" t="s">
        <v>2596</v>
      </c>
      <c r="H1" s="177"/>
      <c r="I1" s="177"/>
    </row>
    <row r="2" spans="1:9" s="19" customFormat="1" ht="31.5" thickBot="1" x14ac:dyDescent="0.3">
      <c r="A2" s="29" t="s">
        <v>73</v>
      </c>
      <c r="B2" s="29" t="s">
        <v>74</v>
      </c>
      <c r="C2" s="29" t="s">
        <v>75</v>
      </c>
      <c r="D2" s="29" t="s">
        <v>76</v>
      </c>
      <c r="E2" s="29" t="s">
        <v>77</v>
      </c>
      <c r="G2" s="178" t="s">
        <v>2597</v>
      </c>
      <c r="H2" s="178" t="s">
        <v>1942</v>
      </c>
      <c r="I2" s="178" t="s">
        <v>635</v>
      </c>
    </row>
    <row r="3" spans="1:9" ht="25.5" thickTop="1" x14ac:dyDescent="0.25">
      <c r="A3" s="11" t="s">
        <v>78</v>
      </c>
      <c r="B3" s="6" t="s">
        <v>79</v>
      </c>
      <c r="C3" s="6" t="s">
        <v>80</v>
      </c>
      <c r="D3" s="17" t="s">
        <v>81</v>
      </c>
      <c r="E3" s="6" t="s">
        <v>82</v>
      </c>
    </row>
    <row r="4" spans="1:9" ht="50" x14ac:dyDescent="0.25">
      <c r="A4" s="11" t="s">
        <v>83</v>
      </c>
      <c r="B4" s="6" t="s">
        <v>84</v>
      </c>
      <c r="C4" s="6" t="s">
        <v>80</v>
      </c>
      <c r="D4" s="6" t="s">
        <v>85</v>
      </c>
      <c r="E4" s="6" t="s">
        <v>86</v>
      </c>
    </row>
    <row r="5" spans="1:9" ht="50" x14ac:dyDescent="0.25">
      <c r="A5" s="11" t="s">
        <v>87</v>
      </c>
      <c r="B5" s="6" t="s">
        <v>84</v>
      </c>
      <c r="C5" s="6" t="s">
        <v>80</v>
      </c>
      <c r="D5" s="6" t="s">
        <v>88</v>
      </c>
      <c r="E5" s="6" t="s">
        <v>89</v>
      </c>
    </row>
    <row r="6" spans="1:9" ht="50" x14ac:dyDescent="0.25">
      <c r="A6" s="11" t="s">
        <v>90</v>
      </c>
      <c r="B6" s="6" t="s">
        <v>84</v>
      </c>
      <c r="C6" s="6" t="s">
        <v>80</v>
      </c>
      <c r="D6" s="6" t="s">
        <v>91</v>
      </c>
      <c r="E6" s="6" t="s">
        <v>92</v>
      </c>
    </row>
    <row r="7" spans="1:9" ht="25" x14ac:dyDescent="0.25">
      <c r="A7" s="11" t="s">
        <v>93</v>
      </c>
      <c r="B7" s="6" t="s">
        <v>84</v>
      </c>
      <c r="C7" s="6" t="s">
        <v>80</v>
      </c>
      <c r="D7" s="6" t="s">
        <v>94</v>
      </c>
      <c r="E7" s="6" t="s">
        <v>95</v>
      </c>
    </row>
    <row r="8" spans="1:9" ht="50" x14ac:dyDescent="0.25">
      <c r="A8" s="11" t="s">
        <v>96</v>
      </c>
      <c r="B8" s="6" t="s">
        <v>79</v>
      </c>
      <c r="C8" s="6" t="s">
        <v>97</v>
      </c>
      <c r="D8" s="17" t="s">
        <v>81</v>
      </c>
      <c r="E8" s="6" t="s">
        <v>98</v>
      </c>
    </row>
    <row r="9" spans="1:9" ht="62.5" x14ac:dyDescent="0.25">
      <c r="A9" s="11" t="s">
        <v>99</v>
      </c>
      <c r="B9" s="6" t="s">
        <v>84</v>
      </c>
      <c r="C9" s="6" t="s">
        <v>100</v>
      </c>
      <c r="D9" s="6" t="s">
        <v>101</v>
      </c>
      <c r="E9" s="6" t="s">
        <v>102</v>
      </c>
    </row>
    <row r="10" spans="1:9" ht="50" x14ac:dyDescent="0.25">
      <c r="A10" s="11" t="s">
        <v>103</v>
      </c>
      <c r="B10" s="6" t="s">
        <v>84</v>
      </c>
      <c r="C10" s="6" t="s">
        <v>100</v>
      </c>
      <c r="D10" s="6" t="s">
        <v>104</v>
      </c>
      <c r="E10" s="6" t="s">
        <v>105</v>
      </c>
    </row>
    <row r="11" spans="1:9" ht="62.5" x14ac:dyDescent="0.25">
      <c r="A11" s="11" t="s">
        <v>106</v>
      </c>
      <c r="B11" s="6" t="s">
        <v>84</v>
      </c>
      <c r="C11" s="6" t="s">
        <v>100</v>
      </c>
      <c r="D11" s="6" t="s">
        <v>107</v>
      </c>
      <c r="E11" s="6" t="s">
        <v>108</v>
      </c>
    </row>
    <row r="12" spans="1:9" ht="62.5" x14ac:dyDescent="0.25">
      <c r="A12" s="11" t="s">
        <v>109</v>
      </c>
      <c r="B12" s="6" t="s">
        <v>84</v>
      </c>
      <c r="C12" s="6" t="s">
        <v>100</v>
      </c>
      <c r="D12" s="6" t="s">
        <v>110</v>
      </c>
      <c r="E12" s="6" t="s">
        <v>111</v>
      </c>
    </row>
    <row r="13" spans="1:9" ht="50" x14ac:dyDescent="0.25">
      <c r="A13" s="11" t="s">
        <v>112</v>
      </c>
      <c r="B13" s="6" t="s">
        <v>84</v>
      </c>
      <c r="C13" s="6" t="s">
        <v>100</v>
      </c>
      <c r="D13" s="6" t="s">
        <v>113</v>
      </c>
      <c r="E13" s="6" t="s">
        <v>114</v>
      </c>
    </row>
    <row r="14" spans="1:9" ht="50" x14ac:dyDescent="0.25">
      <c r="A14" s="11" t="s">
        <v>115</v>
      </c>
      <c r="B14" s="6" t="s">
        <v>84</v>
      </c>
      <c r="C14" s="6" t="s">
        <v>100</v>
      </c>
      <c r="D14" s="6" t="s">
        <v>116</v>
      </c>
      <c r="E14" s="6" t="s">
        <v>117</v>
      </c>
    </row>
    <row r="15" spans="1:9" ht="62.5" x14ac:dyDescent="0.25">
      <c r="A15" s="11" t="s">
        <v>118</v>
      </c>
      <c r="B15" s="6" t="s">
        <v>84</v>
      </c>
      <c r="C15" s="6" t="s">
        <v>100</v>
      </c>
      <c r="D15" s="6" t="s">
        <v>119</v>
      </c>
      <c r="E15" s="6" t="s">
        <v>120</v>
      </c>
    </row>
    <row r="16" spans="1:9" ht="62.5" x14ac:dyDescent="0.25">
      <c r="A16" s="11" t="s">
        <v>121</v>
      </c>
      <c r="B16" s="6" t="s">
        <v>84</v>
      </c>
      <c r="C16" s="6" t="s">
        <v>122</v>
      </c>
      <c r="D16" s="6" t="s">
        <v>123</v>
      </c>
      <c r="E16" s="6" t="s">
        <v>124</v>
      </c>
    </row>
    <row r="17" spans="1:8" ht="50" x14ac:dyDescent="0.25">
      <c r="A17" s="11" t="s">
        <v>125</v>
      </c>
      <c r="B17" s="6" t="s">
        <v>84</v>
      </c>
      <c r="C17" s="6" t="s">
        <v>122</v>
      </c>
      <c r="D17" s="6" t="s">
        <v>126</v>
      </c>
      <c r="E17" s="6" t="s">
        <v>127</v>
      </c>
    </row>
    <row r="18" spans="1:8" ht="62.5" x14ac:dyDescent="0.25">
      <c r="A18" s="11" t="s">
        <v>128</v>
      </c>
      <c r="B18" s="6" t="s">
        <v>84</v>
      </c>
      <c r="C18" s="6" t="s">
        <v>122</v>
      </c>
      <c r="D18" s="6" t="s">
        <v>129</v>
      </c>
      <c r="E18" s="6" t="s">
        <v>130</v>
      </c>
    </row>
    <row r="19" spans="1:8" ht="75" x14ac:dyDescent="0.25">
      <c r="A19" s="11" t="s">
        <v>131</v>
      </c>
      <c r="B19" s="6" t="s">
        <v>84</v>
      </c>
      <c r="C19" s="6" t="s">
        <v>122</v>
      </c>
      <c r="D19" s="6" t="s">
        <v>132</v>
      </c>
      <c r="E19" s="6" t="s">
        <v>133</v>
      </c>
    </row>
    <row r="20" spans="1:8" ht="50" x14ac:dyDescent="0.25">
      <c r="A20" s="11" t="s">
        <v>134</v>
      </c>
      <c r="B20" s="6" t="s">
        <v>84</v>
      </c>
      <c r="C20" s="6" t="s">
        <v>122</v>
      </c>
      <c r="D20" s="6" t="s">
        <v>135</v>
      </c>
      <c r="E20" s="6" t="s">
        <v>136</v>
      </c>
    </row>
    <row r="21" spans="1:8" ht="37.5" x14ac:dyDescent="0.25">
      <c r="A21" s="11" t="s">
        <v>137</v>
      </c>
      <c r="B21" s="6" t="s">
        <v>84</v>
      </c>
      <c r="C21" s="6" t="s">
        <v>122</v>
      </c>
      <c r="D21" s="6" t="s">
        <v>138</v>
      </c>
      <c r="E21" s="6" t="s">
        <v>139</v>
      </c>
    </row>
    <row r="22" spans="1:8" ht="50" x14ac:dyDescent="0.25">
      <c r="A22" s="11" t="s">
        <v>140</v>
      </c>
      <c r="B22" s="6" t="s">
        <v>84</v>
      </c>
      <c r="C22" s="6" t="s">
        <v>122</v>
      </c>
      <c r="D22" s="6" t="s">
        <v>141</v>
      </c>
      <c r="E22" s="6" t="s">
        <v>142</v>
      </c>
    </row>
    <row r="23" spans="1:8" ht="62.5" x14ac:dyDescent="0.25">
      <c r="A23" s="11" t="s">
        <v>143</v>
      </c>
      <c r="B23" s="6" t="s">
        <v>84</v>
      </c>
      <c r="C23" s="6" t="s">
        <v>122</v>
      </c>
      <c r="D23" s="6" t="s">
        <v>144</v>
      </c>
      <c r="E23" s="6" t="s">
        <v>145</v>
      </c>
    </row>
    <row r="24" spans="1:8" ht="25" x14ac:dyDescent="0.25">
      <c r="A24" s="11" t="s">
        <v>146</v>
      </c>
      <c r="B24" s="6" t="s">
        <v>79</v>
      </c>
      <c r="C24" s="6" t="s">
        <v>147</v>
      </c>
      <c r="D24" s="17" t="s">
        <v>81</v>
      </c>
      <c r="E24" s="6" t="s">
        <v>148</v>
      </c>
      <c r="G24" s="6" t="s">
        <v>2598</v>
      </c>
      <c r="H24" s="6" t="s">
        <v>706</v>
      </c>
    </row>
    <row r="25" spans="1:8" ht="62.5" x14ac:dyDescent="0.25">
      <c r="A25" s="11" t="s">
        <v>149</v>
      </c>
      <c r="B25" s="6" t="s">
        <v>84</v>
      </c>
      <c r="C25" s="6" t="s">
        <v>147</v>
      </c>
      <c r="D25" s="6" t="s">
        <v>150</v>
      </c>
      <c r="E25" s="6" t="s">
        <v>151</v>
      </c>
      <c r="G25" s="6" t="s">
        <v>2598</v>
      </c>
    </row>
    <row r="26" spans="1:8" ht="62.5" x14ac:dyDescent="0.25">
      <c r="A26" s="11" t="s">
        <v>152</v>
      </c>
      <c r="B26" s="6" t="s">
        <v>84</v>
      </c>
      <c r="C26" s="6" t="s">
        <v>147</v>
      </c>
      <c r="D26" s="6" t="s">
        <v>153</v>
      </c>
      <c r="E26" s="6" t="s">
        <v>154</v>
      </c>
      <c r="G26" s="6" t="s">
        <v>2598</v>
      </c>
    </row>
    <row r="27" spans="1:8" ht="62.5" x14ac:dyDescent="0.25">
      <c r="A27" s="11" t="s">
        <v>155</v>
      </c>
      <c r="B27" s="6" t="s">
        <v>84</v>
      </c>
      <c r="C27" s="6" t="s">
        <v>147</v>
      </c>
      <c r="D27" s="6" t="s">
        <v>156</v>
      </c>
      <c r="E27" s="6" t="s">
        <v>157</v>
      </c>
      <c r="G27" s="6" t="s">
        <v>2598</v>
      </c>
    </row>
    <row r="28" spans="1:8" ht="37.5" x14ac:dyDescent="0.25">
      <c r="A28" s="11" t="s">
        <v>158</v>
      </c>
      <c r="B28" s="6" t="s">
        <v>84</v>
      </c>
      <c r="C28" s="6" t="s">
        <v>147</v>
      </c>
      <c r="D28" s="6" t="s">
        <v>159</v>
      </c>
      <c r="E28" s="6" t="s">
        <v>160</v>
      </c>
      <c r="G28" s="6" t="s">
        <v>2598</v>
      </c>
    </row>
    <row r="29" spans="1:8" ht="75" x14ac:dyDescent="0.25">
      <c r="A29" s="11" t="s">
        <v>161</v>
      </c>
      <c r="B29" s="6" t="s">
        <v>84</v>
      </c>
      <c r="C29" s="6" t="s">
        <v>147</v>
      </c>
      <c r="D29" s="6" t="s">
        <v>162</v>
      </c>
      <c r="E29" s="6" t="s">
        <v>163</v>
      </c>
      <c r="G29" s="6" t="s">
        <v>2598</v>
      </c>
    </row>
    <row r="30" spans="1:8" ht="75" x14ac:dyDescent="0.25">
      <c r="A30" s="11" t="s">
        <v>164</v>
      </c>
      <c r="B30" s="6" t="s">
        <v>84</v>
      </c>
      <c r="C30" s="6" t="s">
        <v>147</v>
      </c>
      <c r="D30" s="6" t="s">
        <v>165</v>
      </c>
      <c r="E30" s="6" t="s">
        <v>166</v>
      </c>
      <c r="G30" s="6" t="s">
        <v>2598</v>
      </c>
    </row>
    <row r="31" spans="1:8" ht="62.5" x14ac:dyDescent="0.25">
      <c r="A31" s="11" t="s">
        <v>167</v>
      </c>
      <c r="B31" s="6" t="s">
        <v>84</v>
      </c>
      <c r="C31" s="6" t="s">
        <v>147</v>
      </c>
      <c r="D31" s="6" t="s">
        <v>168</v>
      </c>
      <c r="E31" s="6" t="s">
        <v>169</v>
      </c>
      <c r="G31" s="6" t="s">
        <v>2598</v>
      </c>
    </row>
    <row r="32" spans="1:8" ht="62.5" x14ac:dyDescent="0.25">
      <c r="A32" s="11" t="s">
        <v>170</v>
      </c>
      <c r="B32" s="6" t="s">
        <v>84</v>
      </c>
      <c r="C32" s="6" t="s">
        <v>147</v>
      </c>
      <c r="D32" s="6" t="s">
        <v>171</v>
      </c>
      <c r="E32" s="6" t="s">
        <v>172</v>
      </c>
      <c r="G32" s="6" t="s">
        <v>2598</v>
      </c>
    </row>
    <row r="33" spans="1:7" ht="75" x14ac:dyDescent="0.25">
      <c r="A33" s="11" t="s">
        <v>173</v>
      </c>
      <c r="B33" s="6" t="s">
        <v>84</v>
      </c>
      <c r="C33" s="6" t="s">
        <v>147</v>
      </c>
      <c r="D33" s="6" t="s">
        <v>174</v>
      </c>
      <c r="E33" s="6" t="s">
        <v>175</v>
      </c>
      <c r="G33" s="6" t="s">
        <v>2598</v>
      </c>
    </row>
    <row r="34" spans="1:7" ht="62.5" x14ac:dyDescent="0.25">
      <c r="A34" s="11" t="s">
        <v>176</v>
      </c>
      <c r="B34" s="6" t="s">
        <v>84</v>
      </c>
      <c r="C34" s="6" t="s">
        <v>147</v>
      </c>
      <c r="D34" s="6" t="s">
        <v>177</v>
      </c>
      <c r="E34" s="6" t="s">
        <v>178</v>
      </c>
      <c r="G34" s="6" t="s">
        <v>2598</v>
      </c>
    </row>
    <row r="35" spans="1:7" ht="62.5" x14ac:dyDescent="0.25">
      <c r="A35" s="11" t="s">
        <v>179</v>
      </c>
      <c r="B35" s="6" t="s">
        <v>84</v>
      </c>
      <c r="C35" s="6" t="s">
        <v>147</v>
      </c>
      <c r="D35" s="6" t="s">
        <v>180</v>
      </c>
      <c r="E35" s="6" t="s">
        <v>181</v>
      </c>
      <c r="G35" s="6" t="s">
        <v>2598</v>
      </c>
    </row>
    <row r="36" spans="1:7" ht="37.5" x14ac:dyDescent="0.25">
      <c r="A36" s="11" t="s">
        <v>182</v>
      </c>
      <c r="B36" s="6" t="s">
        <v>79</v>
      </c>
      <c r="C36" s="6" t="s">
        <v>23</v>
      </c>
      <c r="D36" s="17" t="s">
        <v>81</v>
      </c>
      <c r="E36" s="6" t="s">
        <v>183</v>
      </c>
      <c r="G36" s="6" t="s">
        <v>2598</v>
      </c>
    </row>
    <row r="37" spans="1:7" ht="50" x14ac:dyDescent="0.25">
      <c r="A37" s="11" t="s">
        <v>184</v>
      </c>
      <c r="B37" s="6" t="s">
        <v>84</v>
      </c>
      <c r="C37" s="6" t="s">
        <v>23</v>
      </c>
      <c r="D37" s="6" t="s">
        <v>25</v>
      </c>
      <c r="E37" s="6" t="s">
        <v>185</v>
      </c>
    </row>
    <row r="38" spans="1:7" ht="62.5" x14ac:dyDescent="0.25">
      <c r="A38" s="11" t="s">
        <v>186</v>
      </c>
      <c r="B38" s="6" t="s">
        <v>84</v>
      </c>
      <c r="C38" s="6" t="s">
        <v>23</v>
      </c>
      <c r="D38" s="6" t="s">
        <v>26</v>
      </c>
      <c r="E38" s="6" t="s">
        <v>187</v>
      </c>
    </row>
    <row r="39" spans="1:7" ht="75" x14ac:dyDescent="0.25">
      <c r="A39" s="11" t="s">
        <v>188</v>
      </c>
      <c r="B39" s="6" t="s">
        <v>84</v>
      </c>
      <c r="C39" s="6" t="s">
        <v>23</v>
      </c>
      <c r="D39" s="6" t="s">
        <v>27</v>
      </c>
      <c r="E39" s="6" t="s">
        <v>189</v>
      </c>
    </row>
    <row r="40" spans="1:7" ht="62.5" x14ac:dyDescent="0.25">
      <c r="A40" s="11" t="s">
        <v>190</v>
      </c>
      <c r="B40" s="6" t="s">
        <v>84</v>
      </c>
      <c r="C40" s="6" t="s">
        <v>23</v>
      </c>
      <c r="D40" s="6" t="s">
        <v>28</v>
      </c>
      <c r="E40" s="6" t="s">
        <v>191</v>
      </c>
    </row>
    <row r="41" spans="1:7" ht="25" x14ac:dyDescent="0.25">
      <c r="A41" s="11" t="s">
        <v>192</v>
      </c>
      <c r="B41" s="6" t="s">
        <v>79</v>
      </c>
      <c r="C41" s="6" t="s">
        <v>193</v>
      </c>
      <c r="D41" s="17" t="s">
        <v>81</v>
      </c>
      <c r="E41" s="6" t="s">
        <v>194</v>
      </c>
      <c r="G41" s="6" t="s">
        <v>2598</v>
      </c>
    </row>
    <row r="42" spans="1:7" ht="75" x14ac:dyDescent="0.25">
      <c r="A42" s="11" t="s">
        <v>195</v>
      </c>
      <c r="B42" s="6" t="s">
        <v>84</v>
      </c>
      <c r="C42" s="6" t="s">
        <v>193</v>
      </c>
      <c r="D42" s="6" t="s">
        <v>196</v>
      </c>
      <c r="E42" s="6" t="s">
        <v>197</v>
      </c>
    </row>
    <row r="43" spans="1:7" ht="75" x14ac:dyDescent="0.25">
      <c r="A43" s="11" t="s">
        <v>198</v>
      </c>
      <c r="B43" s="6" t="s">
        <v>84</v>
      </c>
      <c r="C43" s="6" t="s">
        <v>193</v>
      </c>
      <c r="D43" s="6" t="s">
        <v>199</v>
      </c>
      <c r="E43" s="6" t="s">
        <v>200</v>
      </c>
    </row>
    <row r="44" spans="1:7" ht="75" x14ac:dyDescent="0.25">
      <c r="A44" s="11" t="s">
        <v>201</v>
      </c>
      <c r="B44" s="6" t="s">
        <v>84</v>
      </c>
      <c r="C44" s="6" t="s">
        <v>193</v>
      </c>
      <c r="D44" s="6" t="s">
        <v>202</v>
      </c>
      <c r="E44" s="6" t="s">
        <v>203</v>
      </c>
    </row>
    <row r="45" spans="1:7" ht="62.5" x14ac:dyDescent="0.25">
      <c r="A45" s="11" t="s">
        <v>204</v>
      </c>
      <c r="B45" s="6" t="s">
        <v>84</v>
      </c>
      <c r="C45" s="6" t="s">
        <v>193</v>
      </c>
      <c r="D45" s="6" t="s">
        <v>205</v>
      </c>
      <c r="E45" s="6" t="s">
        <v>206</v>
      </c>
    </row>
    <row r="46" spans="1:7" ht="62.5" x14ac:dyDescent="0.25">
      <c r="A46" s="11" t="s">
        <v>207</v>
      </c>
      <c r="B46" s="6" t="s">
        <v>84</v>
      </c>
      <c r="C46" s="6" t="s">
        <v>193</v>
      </c>
      <c r="D46" s="6" t="s">
        <v>208</v>
      </c>
      <c r="E46" s="6" t="s">
        <v>209</v>
      </c>
    </row>
    <row r="47" spans="1:7" ht="62.5" x14ac:dyDescent="0.25">
      <c r="A47" s="11" t="s">
        <v>210</v>
      </c>
      <c r="B47" s="6" t="s">
        <v>84</v>
      </c>
      <c r="C47" s="6" t="s">
        <v>193</v>
      </c>
      <c r="D47" s="6" t="s">
        <v>211</v>
      </c>
      <c r="E47" s="6" t="s">
        <v>212</v>
      </c>
    </row>
    <row r="48" spans="1:7" ht="62.5" x14ac:dyDescent="0.25">
      <c r="A48" s="11" t="s">
        <v>213</v>
      </c>
      <c r="B48" s="6" t="s">
        <v>84</v>
      </c>
      <c r="C48" s="6" t="s">
        <v>193</v>
      </c>
      <c r="D48" s="6" t="s">
        <v>214</v>
      </c>
      <c r="E48" s="6" t="s">
        <v>215</v>
      </c>
    </row>
    <row r="49" spans="1:7" ht="37.5" x14ac:dyDescent="0.25">
      <c r="A49" s="11" t="s">
        <v>216</v>
      </c>
      <c r="B49" s="6" t="s">
        <v>79</v>
      </c>
      <c r="C49" s="6" t="s">
        <v>217</v>
      </c>
      <c r="D49" s="17" t="s">
        <v>81</v>
      </c>
      <c r="E49" s="6" t="s">
        <v>218</v>
      </c>
      <c r="G49" s="6" t="s">
        <v>2598</v>
      </c>
    </row>
    <row r="50" spans="1:7" ht="62.5" x14ac:dyDescent="0.25">
      <c r="A50" s="11" t="s">
        <v>219</v>
      </c>
      <c r="B50" s="6" t="s">
        <v>84</v>
      </c>
      <c r="C50" s="6" t="s">
        <v>217</v>
      </c>
      <c r="D50" s="6" t="s">
        <v>220</v>
      </c>
      <c r="E50" s="6" t="s">
        <v>221</v>
      </c>
    </row>
    <row r="51" spans="1:7" ht="62.5" x14ac:dyDescent="0.25">
      <c r="A51" s="11" t="s">
        <v>222</v>
      </c>
      <c r="B51" s="6" t="s">
        <v>84</v>
      </c>
      <c r="C51" s="6" t="s">
        <v>217</v>
      </c>
      <c r="D51" s="6" t="s">
        <v>223</v>
      </c>
      <c r="E51" s="6" t="s">
        <v>224</v>
      </c>
    </row>
    <row r="52" spans="1:7" ht="62.5" x14ac:dyDescent="0.25">
      <c r="A52" s="11" t="s">
        <v>225</v>
      </c>
      <c r="B52" s="6" t="s">
        <v>84</v>
      </c>
      <c r="C52" s="6" t="s">
        <v>217</v>
      </c>
      <c r="D52" s="6" t="s">
        <v>226</v>
      </c>
      <c r="E52" s="6" t="s">
        <v>227</v>
      </c>
    </row>
    <row r="53" spans="1:7" ht="50" x14ac:dyDescent="0.25">
      <c r="A53" s="11" t="s">
        <v>228</v>
      </c>
      <c r="B53" s="6" t="s">
        <v>84</v>
      </c>
      <c r="C53" s="6" t="s">
        <v>217</v>
      </c>
      <c r="D53" s="6" t="s">
        <v>229</v>
      </c>
      <c r="E53" s="6" t="s">
        <v>230</v>
      </c>
    </row>
    <row r="54" spans="1:7" ht="50" x14ac:dyDescent="0.25">
      <c r="A54" s="11" t="s">
        <v>231</v>
      </c>
      <c r="B54" s="6" t="s">
        <v>84</v>
      </c>
      <c r="C54" s="6" t="s">
        <v>217</v>
      </c>
      <c r="D54" s="6" t="s">
        <v>232</v>
      </c>
      <c r="E54" s="6" t="s">
        <v>233</v>
      </c>
    </row>
    <row r="55" spans="1:7" ht="38" x14ac:dyDescent="0.25">
      <c r="A55" s="11" t="s">
        <v>234</v>
      </c>
      <c r="B55" s="6" t="s">
        <v>79</v>
      </c>
      <c r="C55" s="6" t="s">
        <v>235</v>
      </c>
      <c r="D55" s="17" t="s">
        <v>81</v>
      </c>
      <c r="E55" s="6" t="s">
        <v>236</v>
      </c>
      <c r="G55" s="6" t="s">
        <v>2598</v>
      </c>
    </row>
    <row r="56" spans="1:7" ht="75" x14ac:dyDescent="0.25">
      <c r="A56" s="11" t="s">
        <v>237</v>
      </c>
      <c r="B56" s="6" t="s">
        <v>84</v>
      </c>
      <c r="C56" s="6" t="s">
        <v>235</v>
      </c>
      <c r="D56" s="6" t="s">
        <v>238</v>
      </c>
      <c r="E56" s="6" t="s">
        <v>239</v>
      </c>
      <c r="G56" s="6" t="s">
        <v>2598</v>
      </c>
    </row>
    <row r="57" spans="1:7" ht="50" x14ac:dyDescent="0.25">
      <c r="A57" s="11" t="s">
        <v>240</v>
      </c>
      <c r="B57" s="6" t="s">
        <v>84</v>
      </c>
      <c r="C57" s="6" t="s">
        <v>235</v>
      </c>
      <c r="D57" s="6" t="s">
        <v>241</v>
      </c>
      <c r="E57" s="6" t="s">
        <v>242</v>
      </c>
      <c r="G57" s="6" t="s">
        <v>2598</v>
      </c>
    </row>
    <row r="58" spans="1:7" ht="50" x14ac:dyDescent="0.25">
      <c r="A58" s="11" t="s">
        <v>243</v>
      </c>
      <c r="B58" s="6" t="s">
        <v>84</v>
      </c>
      <c r="C58" s="6" t="s">
        <v>235</v>
      </c>
      <c r="D58" s="6" t="s">
        <v>244</v>
      </c>
      <c r="E58" s="6" t="s">
        <v>245</v>
      </c>
      <c r="G58" s="6" t="s">
        <v>2598</v>
      </c>
    </row>
    <row r="59" spans="1:7" ht="62.5" x14ac:dyDescent="0.25">
      <c r="A59" s="11" t="s">
        <v>246</v>
      </c>
      <c r="B59" s="6" t="s">
        <v>84</v>
      </c>
      <c r="C59" s="6" t="s">
        <v>235</v>
      </c>
      <c r="D59" s="6" t="s">
        <v>247</v>
      </c>
      <c r="E59" s="6" t="s">
        <v>248</v>
      </c>
      <c r="G59" s="6" t="s">
        <v>2598</v>
      </c>
    </row>
    <row r="60" spans="1:7" ht="50" x14ac:dyDescent="0.25">
      <c r="A60" s="11" t="s">
        <v>249</v>
      </c>
      <c r="B60" s="6" t="s">
        <v>84</v>
      </c>
      <c r="C60" s="6" t="s">
        <v>235</v>
      </c>
      <c r="D60" s="6" t="s">
        <v>250</v>
      </c>
      <c r="E60" s="6" t="s">
        <v>251</v>
      </c>
      <c r="G60" s="6" t="s">
        <v>2598</v>
      </c>
    </row>
    <row r="61" spans="1:7" ht="100" x14ac:dyDescent="0.25">
      <c r="A61" s="11" t="s">
        <v>252</v>
      </c>
      <c r="B61" s="6" t="s">
        <v>84</v>
      </c>
      <c r="C61" s="6" t="s">
        <v>235</v>
      </c>
      <c r="D61" s="6" t="s">
        <v>253</v>
      </c>
      <c r="E61" s="6" t="s">
        <v>254</v>
      </c>
      <c r="G61" s="6" t="s">
        <v>2598</v>
      </c>
    </row>
    <row r="62" spans="1:7" ht="62.5" x14ac:dyDescent="0.25">
      <c r="A62" s="11" t="s">
        <v>255</v>
      </c>
      <c r="B62" s="6" t="s">
        <v>84</v>
      </c>
      <c r="C62" s="6" t="s">
        <v>235</v>
      </c>
      <c r="D62" s="6" t="s">
        <v>256</v>
      </c>
      <c r="E62" s="6" t="s">
        <v>257</v>
      </c>
      <c r="G62" s="6" t="s">
        <v>2598</v>
      </c>
    </row>
    <row r="63" spans="1:7" ht="75" x14ac:dyDescent="0.25">
      <c r="A63" s="11" t="s">
        <v>258</v>
      </c>
      <c r="B63" s="6" t="s">
        <v>84</v>
      </c>
      <c r="C63" s="6" t="s">
        <v>235</v>
      </c>
      <c r="D63" s="6" t="s">
        <v>259</v>
      </c>
      <c r="E63" s="6" t="s">
        <v>260</v>
      </c>
      <c r="G63" s="6" t="s">
        <v>2598</v>
      </c>
    </row>
    <row r="64" spans="1:7" ht="75" x14ac:dyDescent="0.25">
      <c r="A64" s="11" t="s">
        <v>261</v>
      </c>
      <c r="B64" s="6" t="s">
        <v>84</v>
      </c>
      <c r="C64" s="6" t="s">
        <v>235</v>
      </c>
      <c r="D64" s="6" t="s">
        <v>262</v>
      </c>
      <c r="E64" s="6" t="s">
        <v>263</v>
      </c>
      <c r="G64" s="6" t="s">
        <v>2598</v>
      </c>
    </row>
    <row r="65" spans="1:7" ht="75" x14ac:dyDescent="0.25">
      <c r="A65" s="11" t="s">
        <v>264</v>
      </c>
      <c r="B65" s="6" t="s">
        <v>84</v>
      </c>
      <c r="C65" s="6" t="s">
        <v>235</v>
      </c>
      <c r="D65" s="6" t="s">
        <v>265</v>
      </c>
      <c r="E65" s="6" t="s">
        <v>266</v>
      </c>
      <c r="G65" s="6" t="s">
        <v>2598</v>
      </c>
    </row>
    <row r="66" spans="1:7" ht="25" x14ac:dyDescent="0.25">
      <c r="A66" s="11" t="s">
        <v>267</v>
      </c>
      <c r="B66" s="6" t="s">
        <v>79</v>
      </c>
      <c r="C66" s="6" t="s">
        <v>268</v>
      </c>
      <c r="D66" s="17" t="s">
        <v>81</v>
      </c>
      <c r="E66" s="6" t="s">
        <v>269</v>
      </c>
      <c r="G66" s="6" t="s">
        <v>2599</v>
      </c>
    </row>
    <row r="67" spans="1:7" ht="75" x14ac:dyDescent="0.25">
      <c r="A67" s="11" t="s">
        <v>270</v>
      </c>
      <c r="B67" s="6" t="s">
        <v>84</v>
      </c>
      <c r="C67" s="6" t="s">
        <v>268</v>
      </c>
      <c r="D67" s="6" t="s">
        <v>271</v>
      </c>
      <c r="E67" s="6" t="s">
        <v>272</v>
      </c>
    </row>
    <row r="68" spans="1:7" ht="62.5" x14ac:dyDescent="0.25">
      <c r="A68" s="11" t="s">
        <v>273</v>
      </c>
      <c r="B68" s="6" t="s">
        <v>84</v>
      </c>
      <c r="C68" s="6" t="s">
        <v>268</v>
      </c>
      <c r="D68" s="6" t="s">
        <v>274</v>
      </c>
      <c r="E68" s="6" t="s">
        <v>275</v>
      </c>
    </row>
    <row r="69" spans="1:7" ht="50" x14ac:dyDescent="0.25">
      <c r="A69" s="11" t="s">
        <v>276</v>
      </c>
      <c r="B69" s="6" t="s">
        <v>84</v>
      </c>
      <c r="C69" s="6" t="s">
        <v>268</v>
      </c>
      <c r="D69" s="6" t="s">
        <v>277</v>
      </c>
      <c r="E69" s="6" t="s">
        <v>278</v>
      </c>
    </row>
    <row r="70" spans="1:7" ht="50" x14ac:dyDescent="0.25">
      <c r="A70" s="11" t="s">
        <v>279</v>
      </c>
      <c r="B70" s="6" t="s">
        <v>84</v>
      </c>
      <c r="C70" s="6" t="s">
        <v>268</v>
      </c>
      <c r="D70" s="6" t="s">
        <v>280</v>
      </c>
      <c r="E70" s="6" t="s">
        <v>281</v>
      </c>
    </row>
    <row r="71" spans="1:7" ht="62.5" x14ac:dyDescent="0.25">
      <c r="A71" s="11" t="s">
        <v>282</v>
      </c>
      <c r="B71" s="6" t="s">
        <v>84</v>
      </c>
      <c r="C71" s="6" t="s">
        <v>268</v>
      </c>
      <c r="D71" s="6" t="s">
        <v>283</v>
      </c>
      <c r="E71" s="6" t="s">
        <v>284</v>
      </c>
    </row>
    <row r="72" spans="1:7" ht="62.5" x14ac:dyDescent="0.25">
      <c r="A72" s="11" t="s">
        <v>285</v>
      </c>
      <c r="B72" s="6" t="s">
        <v>84</v>
      </c>
      <c r="C72" s="6" t="s">
        <v>268</v>
      </c>
      <c r="D72" s="6" t="s">
        <v>286</v>
      </c>
      <c r="E72" s="6" t="s">
        <v>287</v>
      </c>
    </row>
    <row r="73" spans="1:7" ht="62.5" x14ac:dyDescent="0.25">
      <c r="A73" s="11" t="s">
        <v>288</v>
      </c>
      <c r="B73" s="6" t="s">
        <v>84</v>
      </c>
      <c r="C73" s="6" t="s">
        <v>268</v>
      </c>
      <c r="D73" s="6" t="s">
        <v>289</v>
      </c>
      <c r="E73" s="6" t="s">
        <v>290</v>
      </c>
    </row>
    <row r="74" spans="1:7" ht="75" x14ac:dyDescent="0.25">
      <c r="A74" s="11" t="s">
        <v>291</v>
      </c>
      <c r="B74" s="6" t="s">
        <v>84</v>
      </c>
      <c r="C74" s="6" t="s">
        <v>268</v>
      </c>
      <c r="D74" s="6" t="s">
        <v>292</v>
      </c>
      <c r="E74" s="6" t="s">
        <v>293</v>
      </c>
    </row>
    <row r="75" spans="1:7" ht="50" x14ac:dyDescent="0.25">
      <c r="A75" s="11" t="s">
        <v>294</v>
      </c>
      <c r="B75" s="6" t="s">
        <v>84</v>
      </c>
      <c r="C75" s="6" t="s">
        <v>268</v>
      </c>
      <c r="D75" s="6" t="s">
        <v>295</v>
      </c>
      <c r="E75" s="6" t="s">
        <v>296</v>
      </c>
    </row>
    <row r="76" spans="1:7" ht="62.5" x14ac:dyDescent="0.25">
      <c r="A76" s="11" t="s">
        <v>297</v>
      </c>
      <c r="B76" s="6" t="s">
        <v>84</v>
      </c>
      <c r="C76" s="6" t="s">
        <v>268</v>
      </c>
      <c r="D76" s="6" t="s">
        <v>298</v>
      </c>
      <c r="E76" s="6" t="s">
        <v>299</v>
      </c>
    </row>
    <row r="77" spans="1:7" ht="37.5" x14ac:dyDescent="0.25">
      <c r="A77" s="11" t="s">
        <v>300</v>
      </c>
      <c r="B77" s="6" t="s">
        <v>79</v>
      </c>
      <c r="C77" s="6" t="s">
        <v>301</v>
      </c>
      <c r="D77" s="17" t="s">
        <v>81</v>
      </c>
      <c r="E77" s="6" t="s">
        <v>302</v>
      </c>
      <c r="G77" s="6" t="s">
        <v>2600</v>
      </c>
    </row>
    <row r="78" spans="1:7" ht="62.5" x14ac:dyDescent="0.25">
      <c r="A78" s="11" t="s">
        <v>303</v>
      </c>
      <c r="B78" s="6" t="s">
        <v>84</v>
      </c>
      <c r="C78" s="6" t="s">
        <v>301</v>
      </c>
      <c r="D78" s="6" t="s">
        <v>304</v>
      </c>
      <c r="E78" s="6" t="s">
        <v>305</v>
      </c>
    </row>
    <row r="79" spans="1:7" ht="75" x14ac:dyDescent="0.25">
      <c r="A79" s="11" t="s">
        <v>306</v>
      </c>
      <c r="B79" s="6" t="s">
        <v>84</v>
      </c>
      <c r="C79" s="6" t="s">
        <v>301</v>
      </c>
      <c r="D79" s="6" t="s">
        <v>307</v>
      </c>
      <c r="E79" s="6" t="s">
        <v>308</v>
      </c>
    </row>
    <row r="80" spans="1:7" ht="75" x14ac:dyDescent="0.25">
      <c r="A80" s="11" t="s">
        <v>309</v>
      </c>
      <c r="B80" s="6" t="s">
        <v>84</v>
      </c>
      <c r="C80" s="6" t="s">
        <v>301</v>
      </c>
      <c r="D80" s="6" t="s">
        <v>310</v>
      </c>
      <c r="E80" s="6" t="s">
        <v>311</v>
      </c>
    </row>
    <row r="81" spans="1:9" ht="75" x14ac:dyDescent="0.25">
      <c r="A81" s="11" t="s">
        <v>312</v>
      </c>
      <c r="B81" s="6" t="s">
        <v>84</v>
      </c>
      <c r="C81" s="6" t="s">
        <v>301</v>
      </c>
      <c r="D81" s="6" t="s">
        <v>313</v>
      </c>
      <c r="E81" s="6" t="s">
        <v>314</v>
      </c>
    </row>
    <row r="82" spans="1:9" ht="37.5" x14ac:dyDescent="0.25">
      <c r="A82" s="11" t="s">
        <v>315</v>
      </c>
      <c r="B82" s="6" t="s">
        <v>79</v>
      </c>
      <c r="C82" s="6" t="s">
        <v>316</v>
      </c>
      <c r="D82" s="17" t="s">
        <v>81</v>
      </c>
      <c r="E82" s="6" t="s">
        <v>317</v>
      </c>
      <c r="G82" s="6" t="s">
        <v>2644</v>
      </c>
      <c r="I82" s="6" t="s">
        <v>2645</v>
      </c>
    </row>
    <row r="83" spans="1:9" ht="62.5" x14ac:dyDescent="0.25">
      <c r="A83" s="11" t="s">
        <v>318</v>
      </c>
      <c r="B83" s="6" t="s">
        <v>84</v>
      </c>
      <c r="C83" s="6" t="s">
        <v>316</v>
      </c>
      <c r="D83" s="6" t="s">
        <v>319</v>
      </c>
      <c r="E83" s="6" t="s">
        <v>320</v>
      </c>
      <c r="G83" s="6" t="s">
        <v>2644</v>
      </c>
      <c r="I83" s="6" t="s">
        <v>2645</v>
      </c>
    </row>
    <row r="84" spans="1:9" ht="50" x14ac:dyDescent="0.25">
      <c r="A84" s="11" t="s">
        <v>321</v>
      </c>
      <c r="B84" s="6" t="s">
        <v>84</v>
      </c>
      <c r="C84" s="6" t="s">
        <v>316</v>
      </c>
      <c r="D84" s="6" t="s">
        <v>322</v>
      </c>
      <c r="E84" s="6" t="s">
        <v>323</v>
      </c>
      <c r="G84" s="6" t="s">
        <v>2644</v>
      </c>
      <c r="I84" s="6" t="s">
        <v>2645</v>
      </c>
    </row>
    <row r="85" spans="1:9" ht="62.5" x14ac:dyDescent="0.25">
      <c r="A85" s="11" t="s">
        <v>324</v>
      </c>
      <c r="B85" s="6" t="s">
        <v>84</v>
      </c>
      <c r="C85" s="6" t="s">
        <v>316</v>
      </c>
      <c r="D85" s="6" t="s">
        <v>325</v>
      </c>
      <c r="E85" s="6" t="s">
        <v>326</v>
      </c>
      <c r="G85" s="6" t="s">
        <v>2644</v>
      </c>
      <c r="I85" s="6" t="s">
        <v>2645</v>
      </c>
    </row>
    <row r="86" spans="1:9" ht="62.5" x14ac:dyDescent="0.25">
      <c r="A86" s="11" t="s">
        <v>327</v>
      </c>
      <c r="B86" s="6" t="s">
        <v>84</v>
      </c>
      <c r="C86" s="6" t="s">
        <v>316</v>
      </c>
      <c r="D86" s="6" t="s">
        <v>328</v>
      </c>
      <c r="E86" s="6" t="s">
        <v>329</v>
      </c>
      <c r="G86" s="6" t="s">
        <v>2644</v>
      </c>
      <c r="I86" s="6" t="s">
        <v>2645</v>
      </c>
    </row>
    <row r="87" spans="1:9" ht="75" x14ac:dyDescent="0.25">
      <c r="A87" s="11" t="s">
        <v>330</v>
      </c>
      <c r="B87" s="6" t="s">
        <v>84</v>
      </c>
      <c r="C87" s="6" t="s">
        <v>316</v>
      </c>
      <c r="D87" s="6" t="s">
        <v>331</v>
      </c>
      <c r="E87" s="6" t="s">
        <v>332</v>
      </c>
      <c r="G87" s="6" t="s">
        <v>2644</v>
      </c>
      <c r="I87" s="6" t="s">
        <v>2645</v>
      </c>
    </row>
    <row r="88" spans="1:9" ht="50" x14ac:dyDescent="0.25">
      <c r="A88" s="11" t="s">
        <v>333</v>
      </c>
      <c r="B88" s="6" t="s">
        <v>84</v>
      </c>
      <c r="C88" s="6" t="s">
        <v>316</v>
      </c>
      <c r="D88" s="6" t="s">
        <v>334</v>
      </c>
      <c r="E88" s="6" t="s">
        <v>335</v>
      </c>
      <c r="G88" s="6" t="s">
        <v>2644</v>
      </c>
      <c r="I88" s="6" t="s">
        <v>2645</v>
      </c>
    </row>
    <row r="89" spans="1:9" ht="50" x14ac:dyDescent="0.25">
      <c r="A89" s="11" t="s">
        <v>336</v>
      </c>
      <c r="B89" s="6" t="s">
        <v>84</v>
      </c>
      <c r="C89" s="6" t="s">
        <v>316</v>
      </c>
      <c r="D89" s="6" t="s">
        <v>337</v>
      </c>
      <c r="E89" s="6" t="s">
        <v>338</v>
      </c>
      <c r="G89" s="6" t="s">
        <v>2644</v>
      </c>
      <c r="I89" s="6" t="s">
        <v>2645</v>
      </c>
    </row>
    <row r="90" spans="1:9" ht="50" x14ac:dyDescent="0.25">
      <c r="A90" s="11" t="s">
        <v>339</v>
      </c>
      <c r="B90" s="6" t="s">
        <v>84</v>
      </c>
      <c r="C90" s="6" t="s">
        <v>316</v>
      </c>
      <c r="D90" s="6" t="s">
        <v>340</v>
      </c>
      <c r="E90" s="6" t="s">
        <v>341</v>
      </c>
      <c r="G90" s="6" t="s">
        <v>2644</v>
      </c>
      <c r="I90" s="6" t="s">
        <v>2645</v>
      </c>
    </row>
    <row r="91" spans="1:9" ht="75" x14ac:dyDescent="0.25">
      <c r="A91" s="11" t="s">
        <v>342</v>
      </c>
      <c r="B91" s="6" t="s">
        <v>84</v>
      </c>
      <c r="C91" s="6" t="s">
        <v>316</v>
      </c>
      <c r="D91" s="6" t="s">
        <v>343</v>
      </c>
      <c r="E91" s="6" t="s">
        <v>332</v>
      </c>
      <c r="G91" s="6" t="s">
        <v>2644</v>
      </c>
      <c r="I91" s="6" t="s">
        <v>2645</v>
      </c>
    </row>
    <row r="92" spans="1:9" ht="75" x14ac:dyDescent="0.25">
      <c r="A92" s="11" t="s">
        <v>344</v>
      </c>
      <c r="B92" s="6" t="s">
        <v>84</v>
      </c>
      <c r="C92" s="6" t="s">
        <v>316</v>
      </c>
      <c r="D92" s="6" t="s">
        <v>345</v>
      </c>
      <c r="E92" s="6" t="s">
        <v>346</v>
      </c>
      <c r="G92" s="6" t="s">
        <v>2644</v>
      </c>
      <c r="I92" s="6" t="s">
        <v>2645</v>
      </c>
    </row>
  </sheetData>
  <phoneticPr fontId="5" type="noConversion"/>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65AF79E-C932-403A-823C-3549BC5F3558}">
          <x14:formula1>
            <xm:f>Dropdowns!$A$3:$A$5</xm:f>
          </x14:formula1>
          <xm:sqref>B3:B92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F61B9-CCED-4E76-848B-ADF99BA270DF}">
  <sheetPr codeName="Sheet3">
    <tabColor rgb="FF00B0F0"/>
  </sheetPr>
  <dimension ref="A1:M196"/>
  <sheetViews>
    <sheetView zoomScaleNormal="100" workbookViewId="0">
      <selection activeCell="G163" sqref="G163:K195"/>
    </sheetView>
  </sheetViews>
  <sheetFormatPr defaultColWidth="8.7265625" defaultRowHeight="12.5" x14ac:dyDescent="0.25"/>
  <cols>
    <col min="1" max="2" width="7.26953125" customWidth="1"/>
    <col min="3" max="3" width="43.1796875" style="18" customWidth="1"/>
    <col min="4" max="4" width="9.7265625" customWidth="1"/>
    <col min="5" max="5" width="35.7265625" customWidth="1"/>
    <col min="7" max="7" width="26.7265625" style="6" customWidth="1"/>
    <col min="8" max="8" width="14.36328125" style="6" customWidth="1"/>
    <col min="9" max="10" width="19.81640625" style="6" customWidth="1"/>
    <col min="11" max="11" width="35.90625" style="6" customWidth="1"/>
    <col min="12" max="12" width="17.453125" customWidth="1"/>
  </cols>
  <sheetData>
    <row r="1" spans="1:13" ht="33.75" customHeight="1" x14ac:dyDescent="0.25">
      <c r="A1" s="22" t="s">
        <v>347</v>
      </c>
      <c r="B1" s="23"/>
      <c r="C1" s="125"/>
      <c r="D1" s="24"/>
      <c r="E1" s="25"/>
      <c r="G1" s="177" t="s">
        <v>2596</v>
      </c>
      <c r="H1" s="177"/>
      <c r="I1" s="177"/>
      <c r="J1" s="177"/>
      <c r="K1" s="177"/>
      <c r="L1" s="175"/>
      <c r="M1" s="175"/>
    </row>
    <row r="2" spans="1:13" s="4" customFormat="1" ht="39" customHeight="1" thickBot="1" x14ac:dyDescent="0.3">
      <c r="A2" s="8" t="s">
        <v>348</v>
      </c>
      <c r="B2" s="3" t="s">
        <v>349</v>
      </c>
      <c r="C2" s="5" t="s">
        <v>350</v>
      </c>
      <c r="D2" s="3" t="s">
        <v>351</v>
      </c>
      <c r="E2" s="5" t="s">
        <v>352</v>
      </c>
      <c r="G2" s="178" t="s">
        <v>2597</v>
      </c>
      <c r="H2" s="178" t="s">
        <v>640</v>
      </c>
      <c r="I2" s="178" t="s">
        <v>2601</v>
      </c>
      <c r="J2" s="178" t="s">
        <v>2609</v>
      </c>
      <c r="K2" s="178" t="s">
        <v>2602</v>
      </c>
      <c r="L2" s="176" t="s">
        <v>2603</v>
      </c>
      <c r="M2" s="176"/>
    </row>
    <row r="3" spans="1:13" ht="38" hidden="1" thickTop="1" x14ac:dyDescent="0.25">
      <c r="A3" s="12" t="s">
        <v>353</v>
      </c>
      <c r="B3" s="12" t="s">
        <v>83</v>
      </c>
      <c r="C3" s="13" t="str">
        <f>IFERROR(VLOOKUP(Table_Mappings[[#This Row],[Process ID]],Table_Processes[],4,FALSE),"")</f>
        <v>01.01 Needs Assessment for goods, kits, services or works from program and/or operation management</v>
      </c>
      <c r="D3" s="12" t="s">
        <v>354</v>
      </c>
      <c r="E3" s="14" t="str">
        <f>IFERROR(VLOOKUP(Table_Mappings[[#This Row],[Data ID]],Table_Data[],3,FALSE),"")</f>
        <v>Program Requirements</v>
      </c>
      <c r="G3" s="6" t="s">
        <v>2631</v>
      </c>
    </row>
    <row r="4" spans="1:13" ht="38" hidden="1" thickTop="1" x14ac:dyDescent="0.25">
      <c r="A4" s="12" t="s">
        <v>355</v>
      </c>
      <c r="B4" s="12" t="s">
        <v>87</v>
      </c>
      <c r="C4" s="13" t="str">
        <f>IFERROR(VLOOKUP(Table_Mappings[[#This Row],[Process ID]],Table_Processes[],4,FALSE),"")</f>
        <v>01.02 Review and Update of Needs Assessment for goods, kits, services or works</v>
      </c>
      <c r="D4" s="12" t="s">
        <v>354</v>
      </c>
      <c r="E4" s="14" t="str">
        <f>IFERROR(VLOOKUP(Table_Mappings[[#This Row],[Data ID]],Table_Data[],3,FALSE),"")</f>
        <v>Program Requirements</v>
      </c>
      <c r="G4" s="6" t="s">
        <v>2631</v>
      </c>
    </row>
    <row r="5" spans="1:13" ht="13" hidden="1" thickTop="1" x14ac:dyDescent="0.25">
      <c r="A5" s="12" t="s">
        <v>356</v>
      </c>
      <c r="B5" s="12" t="s">
        <v>90</v>
      </c>
      <c r="C5" s="13" t="str">
        <f>IFERROR(VLOOKUP(Table_Mappings[[#This Row],[Process ID]],Table_Processes[],4,FALSE),"")</f>
        <v xml:space="preserve">01.03 Order and Procurement Planning </v>
      </c>
      <c r="D5" s="12" t="s">
        <v>357</v>
      </c>
      <c r="E5" s="14" t="str">
        <f>IFERROR(VLOOKUP(Table_Mappings[[#This Row],[Data ID]],Table_Data[],3,FALSE),"")</f>
        <v>Procurement Plan</v>
      </c>
    </row>
    <row r="6" spans="1:13" ht="13" hidden="1" thickTop="1" x14ac:dyDescent="0.25">
      <c r="A6" s="12" t="s">
        <v>358</v>
      </c>
      <c r="B6" s="12" t="s">
        <v>90</v>
      </c>
      <c r="C6" s="13" t="str">
        <f>IFERROR(VLOOKUP(Table_Mappings[[#This Row],[Process ID]],Table_Processes[],4,FALSE),"")</f>
        <v xml:space="preserve">01.03 Order and Procurement Planning </v>
      </c>
      <c r="D6" s="12" t="s">
        <v>359</v>
      </c>
      <c r="E6" s="14" t="str">
        <f>IFERROR(VLOOKUP(Table_Mappings[[#This Row],[Data ID]],Table_Data[],3,FALSE),"")</f>
        <v>Delivery Plan</v>
      </c>
    </row>
    <row r="7" spans="1:13" ht="13" hidden="1" thickTop="1" x14ac:dyDescent="0.25">
      <c r="A7" s="12" t="s">
        <v>360</v>
      </c>
      <c r="B7" s="12" t="s">
        <v>90</v>
      </c>
      <c r="C7" s="13" t="str">
        <f>IFERROR(VLOOKUP(Table_Mappings[[#This Row],[Process ID]],Table_Processes[],4,FALSE),"")</f>
        <v xml:space="preserve">01.03 Order and Procurement Planning </v>
      </c>
      <c r="D7" s="12" t="s">
        <v>361</v>
      </c>
      <c r="E7" s="14" t="str">
        <f>IFERROR(VLOOKUP(Table_Mappings[[#This Row],[Data ID]],Table_Data[],3,FALSE),"")</f>
        <v>Location Master</v>
      </c>
    </row>
    <row r="8" spans="1:13" ht="13" hidden="1" thickTop="1" x14ac:dyDescent="0.25">
      <c r="A8" s="12" t="s">
        <v>362</v>
      </c>
      <c r="B8" s="12" t="s">
        <v>93</v>
      </c>
      <c r="C8" s="13" t="str">
        <f>IFERROR(VLOOKUP(Table_Mappings[[#This Row],[Process ID]],Table_Processes[],4,FALSE),"")</f>
        <v xml:space="preserve">01.04 Financial Planning </v>
      </c>
      <c r="D8" s="12" t="s">
        <v>357</v>
      </c>
      <c r="E8" s="14" t="str">
        <f>IFERROR(VLOOKUP(Table_Mappings[[#This Row],[Data ID]],Table_Data[],3,FALSE),"")</f>
        <v>Procurement Plan</v>
      </c>
    </row>
    <row r="9" spans="1:13" ht="13" hidden="1" thickTop="1" x14ac:dyDescent="0.25">
      <c r="A9" s="12" t="s">
        <v>363</v>
      </c>
      <c r="B9" s="12" t="s">
        <v>99</v>
      </c>
      <c r="C9" s="13" t="str">
        <f>IFERROR(VLOOKUP(Table_Mappings[[#This Row],[Process ID]],Table_Processes[],4,FALSE),"")</f>
        <v>02.01 Procurement planning of goods or kits</v>
      </c>
      <c r="D9" s="12" t="s">
        <v>354</v>
      </c>
      <c r="E9" s="14" t="str">
        <f>IFERROR(VLOOKUP(Table_Mappings[[#This Row],[Data ID]],Table_Data[],3,FALSE),"")</f>
        <v>Program Requirements</v>
      </c>
    </row>
    <row r="10" spans="1:13" ht="13" hidden="1" thickTop="1" x14ac:dyDescent="0.25">
      <c r="A10" s="12" t="s">
        <v>364</v>
      </c>
      <c r="B10" s="12" t="s">
        <v>99</v>
      </c>
      <c r="C10" s="13" t="str">
        <f>IFERROR(VLOOKUP(Table_Mappings[[#This Row],[Process ID]],Table_Processes[],4,FALSE),"")</f>
        <v>02.01 Procurement planning of goods or kits</v>
      </c>
      <c r="D10" s="12" t="s">
        <v>365</v>
      </c>
      <c r="E10" s="14" t="str">
        <f>IFERROR(VLOOKUP(Table_Mappings[[#This Row],[Data ID]],Table_Data[],3,FALSE),"")</f>
        <v>Supplier Master</v>
      </c>
    </row>
    <row r="11" spans="1:13" ht="13" hidden="1" thickTop="1" x14ac:dyDescent="0.25">
      <c r="A11" s="12" t="s">
        <v>366</v>
      </c>
      <c r="B11" s="12" t="s">
        <v>99</v>
      </c>
      <c r="C11" s="13" t="str">
        <f>IFERROR(VLOOKUP(Table_Mappings[[#This Row],[Process ID]],Table_Processes[],4,FALSE),"")</f>
        <v>02.01 Procurement planning of goods or kits</v>
      </c>
      <c r="D11" s="12" t="s">
        <v>367</v>
      </c>
      <c r="E11" s="14" t="str">
        <f>IFERROR(VLOOKUP(Table_Mappings[[#This Row],[Data ID]],Table_Data[],3,FALSE),"")</f>
        <v>Item Master</v>
      </c>
    </row>
    <row r="12" spans="1:13" ht="13" hidden="1" thickTop="1" x14ac:dyDescent="0.25">
      <c r="A12" s="12" t="s">
        <v>368</v>
      </c>
      <c r="B12" s="12" t="s">
        <v>99</v>
      </c>
      <c r="C12" s="13" t="str">
        <f>IFERROR(VLOOKUP(Table_Mappings[[#This Row],[Process ID]],Table_Processes[],4,FALSE),"")</f>
        <v>02.01 Procurement planning of goods or kits</v>
      </c>
      <c r="D12" s="12" t="s">
        <v>369</v>
      </c>
      <c r="E12" s="14" t="str">
        <f>IFERROR(VLOOKUP(Table_Mappings[[#This Row],[Data ID]],Table_Data[],3,FALSE),"")</f>
        <v>Currency Exchange Rate Master</v>
      </c>
    </row>
    <row r="13" spans="1:13" ht="13" hidden="1" thickTop="1" x14ac:dyDescent="0.25">
      <c r="A13" s="12" t="s">
        <v>370</v>
      </c>
      <c r="B13" s="12" t="s">
        <v>99</v>
      </c>
      <c r="C13" s="13" t="str">
        <f>IFERROR(VLOOKUP(Table_Mappings[[#This Row],[Process ID]],Table_Processes[],4,FALSE),"")</f>
        <v>02.01 Procurement planning of goods or kits</v>
      </c>
      <c r="D13" s="12" t="s">
        <v>371</v>
      </c>
      <c r="E13" s="14" t="str">
        <f>IFERROR(VLOOKUP(Table_Mappings[[#This Row],[Data ID]],Table_Data[],3,FALSE),"")</f>
        <v>Framework Agreement</v>
      </c>
    </row>
    <row r="14" spans="1:13" ht="13" hidden="1" thickTop="1" x14ac:dyDescent="0.25">
      <c r="A14" s="12" t="s">
        <v>372</v>
      </c>
      <c r="B14" s="11" t="s">
        <v>103</v>
      </c>
      <c r="C14" s="13" t="str">
        <f>IFERROR(VLOOKUP(Table_Mappings[[#This Row],[Process ID]],Table_Processes[],4,FALSE),"")</f>
        <v xml:space="preserve">02.02 Markets assessment of goods or kits </v>
      </c>
      <c r="D14" s="12" t="s">
        <v>365</v>
      </c>
      <c r="E14" s="14" t="str">
        <f>IFERROR(VLOOKUP(Table_Mappings[[#This Row],[Data ID]],Table_Data[],3,FALSE),"")</f>
        <v>Supplier Master</v>
      </c>
    </row>
    <row r="15" spans="1:13" ht="13" hidden="1" thickTop="1" x14ac:dyDescent="0.25">
      <c r="A15" s="12" t="s">
        <v>373</v>
      </c>
      <c r="B15" s="11" t="s">
        <v>103</v>
      </c>
      <c r="C15" s="13" t="str">
        <f>IFERROR(VLOOKUP(Table_Mappings[[#This Row],[Process ID]],Table_Processes[],4,FALSE),"")</f>
        <v xml:space="preserve">02.02 Markets assessment of goods or kits </v>
      </c>
      <c r="D15" s="12" t="s">
        <v>367</v>
      </c>
      <c r="E15" s="14" t="str">
        <f>IFERROR(VLOOKUP(Table_Mappings[[#This Row],[Data ID]],Table_Data[],3,FALSE),"")</f>
        <v>Item Master</v>
      </c>
    </row>
    <row r="16" spans="1:13" ht="13" hidden="1" thickTop="1" x14ac:dyDescent="0.25">
      <c r="A16" s="12" t="s">
        <v>374</v>
      </c>
      <c r="B16" s="11" t="s">
        <v>103</v>
      </c>
      <c r="C16" s="13" t="str">
        <f>IFERROR(VLOOKUP(Table_Mappings[[#This Row],[Process ID]],Table_Processes[],4,FALSE),"")</f>
        <v xml:space="preserve">02.02 Markets assessment of goods or kits </v>
      </c>
      <c r="D16" s="12" t="s">
        <v>375</v>
      </c>
      <c r="E16" s="14" t="str">
        <f>IFERROR(VLOOKUP(Table_Mappings[[#This Row],[Data ID]],Table_Data[],3,FALSE),"")</f>
        <v>Bill of Quantities</v>
      </c>
    </row>
    <row r="17" spans="1:5" ht="13" hidden="1" thickTop="1" x14ac:dyDescent="0.25">
      <c r="A17" s="12" t="s">
        <v>376</v>
      </c>
      <c r="B17" s="11" t="s">
        <v>103</v>
      </c>
      <c r="C17" s="15" t="str">
        <f>IFERROR(VLOOKUP(Table_Mappings[[#This Row],[Process ID]],Table_Processes[],4,FALSE),"")</f>
        <v xml:space="preserve">02.02 Markets assessment of goods or kits </v>
      </c>
      <c r="D17" s="12" t="s">
        <v>377</v>
      </c>
      <c r="E17" s="16" t="str">
        <f>IFERROR(VLOOKUP(Table_Mappings[[#This Row],[Data ID]],Table_Data[],3,FALSE),"")</f>
        <v>Bill of Material</v>
      </c>
    </row>
    <row r="18" spans="1:5" ht="13" hidden="1" thickTop="1" x14ac:dyDescent="0.25">
      <c r="A18" s="12" t="s">
        <v>378</v>
      </c>
      <c r="B18" s="11" t="s">
        <v>106</v>
      </c>
      <c r="C18" s="15" t="str">
        <f>IFERROR(VLOOKUP(Table_Mappings[[#This Row],[Process ID]],Table_Processes[],4,FALSE),"")</f>
        <v>02.03 Procurement method selection</v>
      </c>
      <c r="D18" s="12" t="s">
        <v>379</v>
      </c>
      <c r="E18" s="16" t="str">
        <f>IFERROR(VLOOKUP(Table_Mappings[[#This Row],[Data ID]],Table_Data[],3,FALSE),"")</f>
        <v>Request for Quote</v>
      </c>
    </row>
    <row r="19" spans="1:5" ht="13" hidden="1" thickTop="1" x14ac:dyDescent="0.25">
      <c r="A19" s="12" t="s">
        <v>380</v>
      </c>
      <c r="B19" s="11" t="s">
        <v>109</v>
      </c>
      <c r="C19" s="15" t="str">
        <f>IFERROR(VLOOKUP(Table_Mappings[[#This Row],[Process ID]],Table_Processes[],4,FALSE),"")</f>
        <v xml:space="preserve">02.04 Procurement derogation validation </v>
      </c>
      <c r="D19" s="12" t="s">
        <v>365</v>
      </c>
      <c r="E19" s="16" t="str">
        <f>IFERROR(VLOOKUP(Table_Mappings[[#This Row],[Data ID]],Table_Data[],3,FALSE),"")</f>
        <v>Supplier Master</v>
      </c>
    </row>
    <row r="20" spans="1:5" ht="13" hidden="1" thickTop="1" x14ac:dyDescent="0.25">
      <c r="A20" s="12" t="s">
        <v>381</v>
      </c>
      <c r="B20" s="11" t="s">
        <v>109</v>
      </c>
      <c r="C20" s="15" t="str">
        <f>IFERROR(VLOOKUP(Table_Mappings[[#This Row],[Process ID]],Table_Processes[],4,FALSE),"")</f>
        <v xml:space="preserve">02.04 Procurement derogation validation </v>
      </c>
      <c r="D20" s="12" t="s">
        <v>367</v>
      </c>
      <c r="E20" s="16" t="str">
        <f>IFERROR(VLOOKUP(Table_Mappings[[#This Row],[Data ID]],Table_Data[],3,FALSE),"")</f>
        <v>Item Master</v>
      </c>
    </row>
    <row r="21" spans="1:5" ht="13" hidden="1" thickTop="1" x14ac:dyDescent="0.25">
      <c r="A21" s="12" t="s">
        <v>382</v>
      </c>
      <c r="B21" s="11" t="s">
        <v>109</v>
      </c>
      <c r="C21" s="15" t="str">
        <f>IFERROR(VLOOKUP(Table_Mappings[[#This Row],[Process ID]],Table_Processes[],4,FALSE),"")</f>
        <v xml:space="preserve">02.04 Procurement derogation validation </v>
      </c>
      <c r="D21" s="12" t="s">
        <v>379</v>
      </c>
      <c r="E21" s="16" t="str">
        <f>IFERROR(VLOOKUP(Table_Mappings[[#This Row],[Data ID]],Table_Data[],3,FALSE),"")</f>
        <v>Request for Quote</v>
      </c>
    </row>
    <row r="22" spans="1:5" ht="13" hidden="1" thickTop="1" x14ac:dyDescent="0.25">
      <c r="A22" s="12" t="s">
        <v>383</v>
      </c>
      <c r="B22" s="11" t="s">
        <v>109</v>
      </c>
      <c r="C22" s="15" t="str">
        <f>IFERROR(VLOOKUP(Table_Mappings[[#This Row],[Process ID]],Table_Processes[],4,FALSE),"")</f>
        <v xml:space="preserve">02.04 Procurement derogation validation </v>
      </c>
      <c r="D22" s="12" t="s">
        <v>384</v>
      </c>
      <c r="E22" s="16" t="str">
        <f>IFERROR(VLOOKUP(Table_Mappings[[#This Row],[Data ID]],Table_Data[],3,FALSE),"")</f>
        <v>Procurement Waiver</v>
      </c>
    </row>
    <row r="23" spans="1:5" ht="25.5" hidden="1" thickTop="1" x14ac:dyDescent="0.25">
      <c r="A23" s="12" t="s">
        <v>385</v>
      </c>
      <c r="B23" s="11" t="s">
        <v>112</v>
      </c>
      <c r="C23" s="15" t="str">
        <f>IFERROR(VLOOKUP(Table_Mappings[[#This Row],[Process ID]],Table_Processes[],4,FALSE),"")</f>
        <v>02.05 Purchase Order management for goods or kits</v>
      </c>
      <c r="D23" s="12" t="s">
        <v>365</v>
      </c>
      <c r="E23" s="16" t="str">
        <f>IFERROR(VLOOKUP(Table_Mappings[[#This Row],[Data ID]],Table_Data[],3,FALSE),"")</f>
        <v>Supplier Master</v>
      </c>
    </row>
    <row r="24" spans="1:5" ht="25.5" hidden="1" thickTop="1" x14ac:dyDescent="0.25">
      <c r="A24" s="12" t="s">
        <v>386</v>
      </c>
      <c r="B24" s="11" t="s">
        <v>112</v>
      </c>
      <c r="C24" s="15" t="str">
        <f>IFERROR(VLOOKUP(Table_Mappings[[#This Row],[Process ID]],Table_Processes[],4,FALSE),"")</f>
        <v>02.05 Purchase Order management for goods or kits</v>
      </c>
      <c r="D24" s="12" t="s">
        <v>367</v>
      </c>
      <c r="E24" s="16" t="str">
        <f>IFERROR(VLOOKUP(Table_Mappings[[#This Row],[Data ID]],Table_Data[],3,FALSE),"")</f>
        <v>Item Master</v>
      </c>
    </row>
    <row r="25" spans="1:5" ht="25.5" hidden="1" thickTop="1" x14ac:dyDescent="0.25">
      <c r="A25" s="12" t="s">
        <v>387</v>
      </c>
      <c r="B25" s="11" t="s">
        <v>112</v>
      </c>
      <c r="C25" s="15" t="str">
        <f>IFERROR(VLOOKUP(Table_Mappings[[#This Row],[Process ID]],Table_Processes[],4,FALSE),"")</f>
        <v>02.05 Purchase Order management for goods or kits</v>
      </c>
      <c r="D25" s="12" t="s">
        <v>369</v>
      </c>
      <c r="E25" s="16" t="str">
        <f>IFERROR(VLOOKUP(Table_Mappings[[#This Row],[Data ID]],Table_Data[],3,FALSE),"")</f>
        <v>Currency Exchange Rate Master</v>
      </c>
    </row>
    <row r="26" spans="1:5" ht="25.5" hidden="1" thickTop="1" x14ac:dyDescent="0.25">
      <c r="A26" s="12" t="s">
        <v>388</v>
      </c>
      <c r="B26" s="11" t="s">
        <v>112</v>
      </c>
      <c r="C26" s="15" t="str">
        <f>IFERROR(VLOOKUP(Table_Mappings[[#This Row],[Process ID]],Table_Processes[],4,FALSE),"")</f>
        <v>02.05 Purchase Order management for goods or kits</v>
      </c>
      <c r="D26" s="12" t="s">
        <v>371</v>
      </c>
      <c r="E26" s="16" t="str">
        <f>IFERROR(VLOOKUP(Table_Mappings[[#This Row],[Data ID]],Table_Data[],3,FALSE),"")</f>
        <v>Framework Agreement</v>
      </c>
    </row>
    <row r="27" spans="1:5" ht="25.5" hidden="1" thickTop="1" x14ac:dyDescent="0.25">
      <c r="A27" s="12" t="s">
        <v>389</v>
      </c>
      <c r="B27" s="11" t="s">
        <v>112</v>
      </c>
      <c r="C27" s="15" t="str">
        <f>IFERROR(VLOOKUP(Table_Mappings[[#This Row],[Process ID]],Table_Processes[],4,FALSE),"")</f>
        <v>02.05 Purchase Order management for goods or kits</v>
      </c>
      <c r="D27" s="12" t="s">
        <v>390</v>
      </c>
      <c r="E27" s="16" t="str">
        <f>IFERROR(VLOOKUP(Table_Mappings[[#This Row],[Data ID]],Table_Data[],3,FALSE),"")</f>
        <v>Purchase Requisition</v>
      </c>
    </row>
    <row r="28" spans="1:5" ht="25.5" hidden="1" thickTop="1" x14ac:dyDescent="0.25">
      <c r="A28" s="12" t="s">
        <v>391</v>
      </c>
      <c r="B28" s="11" t="s">
        <v>112</v>
      </c>
      <c r="C28" s="15" t="str">
        <f>IFERROR(VLOOKUP(Table_Mappings[[#This Row],[Process ID]],Table_Processes[],4,FALSE),"")</f>
        <v>02.05 Purchase Order management for goods or kits</v>
      </c>
      <c r="D28" s="12" t="s">
        <v>392</v>
      </c>
      <c r="E28" s="16" t="str">
        <f>IFERROR(VLOOKUP(Table_Mappings[[#This Row],[Data ID]],Table_Data[],3,FALSE),"")</f>
        <v>Purchase Requisition Workflow</v>
      </c>
    </row>
    <row r="29" spans="1:5" ht="25.5" hidden="1" thickTop="1" x14ac:dyDescent="0.25">
      <c r="A29" s="12" t="s">
        <v>393</v>
      </c>
      <c r="B29" s="11" t="s">
        <v>112</v>
      </c>
      <c r="C29" s="15" t="str">
        <f>IFERROR(VLOOKUP(Table_Mappings[[#This Row],[Process ID]],Table_Processes[],4,FALSE),"")</f>
        <v>02.05 Purchase Order management for goods or kits</v>
      </c>
      <c r="D29" s="12" t="s">
        <v>394</v>
      </c>
      <c r="E29" s="16" t="str">
        <f>IFERROR(VLOOKUP(Table_Mappings[[#This Row],[Data ID]],Table_Data[],3,FALSE),"")</f>
        <v>Purchase Order</v>
      </c>
    </row>
    <row r="30" spans="1:5" ht="25.5" hidden="1" thickTop="1" x14ac:dyDescent="0.25">
      <c r="A30" s="12" t="s">
        <v>395</v>
      </c>
      <c r="B30" s="11" t="s">
        <v>112</v>
      </c>
      <c r="C30" s="15" t="str">
        <f>IFERROR(VLOOKUP(Table_Mappings[[#This Row],[Process ID]],Table_Processes[],4,FALSE),"")</f>
        <v>02.05 Purchase Order management for goods or kits</v>
      </c>
      <c r="D30" s="12" t="s">
        <v>396</v>
      </c>
      <c r="E30" s="16" t="str">
        <f>IFERROR(VLOOKUP(Table_Mappings[[#This Row],[Data ID]],Table_Data[],3,FALSE),"")</f>
        <v>Purchase Order Workflow</v>
      </c>
    </row>
    <row r="31" spans="1:5" ht="25.5" hidden="1" thickTop="1" x14ac:dyDescent="0.25">
      <c r="A31" s="12" t="s">
        <v>397</v>
      </c>
      <c r="B31" s="11" t="s">
        <v>112</v>
      </c>
      <c r="C31" s="15" t="str">
        <f>IFERROR(VLOOKUP(Table_Mappings[[#This Row],[Process ID]],Table_Processes[],4,FALSE),"")</f>
        <v>02.05 Purchase Order management for goods or kits</v>
      </c>
      <c r="D31" s="12" t="s">
        <v>398</v>
      </c>
      <c r="E31" s="16" t="str">
        <f>IFERROR(VLOOKUP(Table_Mappings[[#This Row],[Data ID]],Table_Data[],3,FALSE),"")</f>
        <v>Bid Analysis</v>
      </c>
    </row>
    <row r="32" spans="1:5" ht="25.5" hidden="1" thickTop="1" x14ac:dyDescent="0.25">
      <c r="A32" s="12" t="s">
        <v>399</v>
      </c>
      <c r="B32" s="11" t="s">
        <v>112</v>
      </c>
      <c r="C32" s="15" t="str">
        <f>IFERROR(VLOOKUP(Table_Mappings[[#This Row],[Process ID]],Table_Processes[],4,FALSE),"")</f>
        <v>02.05 Purchase Order management for goods or kits</v>
      </c>
      <c r="D32" s="12" t="s">
        <v>375</v>
      </c>
      <c r="E32" s="16" t="str">
        <f>IFERROR(VLOOKUP(Table_Mappings[[#This Row],[Data ID]],Table_Data[],3,FALSE),"")</f>
        <v>Bill of Quantities</v>
      </c>
    </row>
    <row r="33" spans="1:5" ht="25.5" hidden="1" thickTop="1" x14ac:dyDescent="0.25">
      <c r="A33" s="12" t="s">
        <v>400</v>
      </c>
      <c r="B33" s="11" t="s">
        <v>112</v>
      </c>
      <c r="C33" s="15" t="str">
        <f>IFERROR(VLOOKUP(Table_Mappings[[#This Row],[Process ID]],Table_Processes[],4,FALSE),"")</f>
        <v>02.05 Purchase Order management for goods or kits</v>
      </c>
      <c r="D33" s="12" t="s">
        <v>377</v>
      </c>
      <c r="E33" s="16" t="str">
        <f>IFERROR(VLOOKUP(Table_Mappings[[#This Row],[Data ID]],Table_Data[],3,FALSE),"")</f>
        <v>Bill of Material</v>
      </c>
    </row>
    <row r="34" spans="1:5" ht="13" hidden="1" thickTop="1" x14ac:dyDescent="0.25">
      <c r="A34" s="12" t="s">
        <v>401</v>
      </c>
      <c r="B34" s="11" t="s">
        <v>115</v>
      </c>
      <c r="C34" s="15" t="str">
        <f>IFERROR(VLOOKUP(Table_Mappings[[#This Row],[Process ID]],Table_Processes[],4,FALSE),"")</f>
        <v>02.06 Invoice matching and payment</v>
      </c>
      <c r="D34" s="12" t="s">
        <v>402</v>
      </c>
      <c r="E34" s="16" t="str">
        <f>IFERROR(VLOOKUP(Table_Mappings[[#This Row],[Data ID]],Table_Data[],3,FALSE),"")</f>
        <v>Supplier Invoice</v>
      </c>
    </row>
    <row r="35" spans="1:5" ht="13" hidden="1" thickTop="1" x14ac:dyDescent="0.25">
      <c r="A35" s="12" t="s">
        <v>403</v>
      </c>
      <c r="B35" s="11" t="s">
        <v>115</v>
      </c>
      <c r="C35" s="15" t="str">
        <f>IFERROR(VLOOKUP(Table_Mappings[[#This Row],[Process ID]],Table_Processes[],4,FALSE),"")</f>
        <v>02.06 Invoice matching and payment</v>
      </c>
      <c r="D35" s="12" t="s">
        <v>394</v>
      </c>
      <c r="E35" s="16" t="str">
        <f>IFERROR(VLOOKUP(Table_Mappings[[#This Row],[Data ID]],Table_Data[],3,FALSE),"")</f>
        <v>Purchase Order</v>
      </c>
    </row>
    <row r="36" spans="1:5" ht="13" hidden="1" thickTop="1" x14ac:dyDescent="0.25">
      <c r="A36" s="12" t="s">
        <v>404</v>
      </c>
      <c r="B36" s="11" t="s">
        <v>115</v>
      </c>
      <c r="C36" s="15" t="str">
        <f>IFERROR(VLOOKUP(Table_Mappings[[#This Row],[Process ID]],Table_Processes[],4,FALSE),"")</f>
        <v>02.06 Invoice matching and payment</v>
      </c>
      <c r="D36" s="12" t="s">
        <v>405</v>
      </c>
      <c r="E36" s="16" t="str">
        <f>IFERROR(VLOOKUP(Table_Mappings[[#This Row],[Data ID]],Table_Data[],3,FALSE),"")</f>
        <v>Goods Received Note</v>
      </c>
    </row>
    <row r="37" spans="1:5" ht="13" hidden="1" thickTop="1" x14ac:dyDescent="0.25">
      <c r="A37" s="12" t="s">
        <v>406</v>
      </c>
      <c r="B37" s="11" t="s">
        <v>115</v>
      </c>
      <c r="C37" s="15" t="str">
        <f>IFERROR(VLOOKUP(Table_Mappings[[#This Row],[Process ID]],Table_Processes[],4,FALSE),"")</f>
        <v>02.06 Invoice matching and payment</v>
      </c>
      <c r="D37" s="12" t="s">
        <v>407</v>
      </c>
      <c r="E37" s="16" t="str">
        <f>IFERROR(VLOOKUP(Table_Mappings[[#This Row],[Data ID]],Table_Data[],3,FALSE),"")</f>
        <v>Supplier Payment</v>
      </c>
    </row>
    <row r="38" spans="1:5" ht="13" hidden="1" thickTop="1" x14ac:dyDescent="0.25">
      <c r="A38" s="12" t="s">
        <v>408</v>
      </c>
      <c r="B38" s="11" t="s">
        <v>118</v>
      </c>
      <c r="C38" s="15" t="str">
        <f>IFERROR(VLOOKUP(Table_Mappings[[#This Row],[Process ID]],Table_Processes[],4,FALSE),"")</f>
        <v>02.07 Donation (Request for in kind donation)</v>
      </c>
      <c r="D38" s="12" t="s">
        <v>409</v>
      </c>
      <c r="E38" s="16" t="str">
        <f>IFERROR(VLOOKUP(Table_Mappings[[#This Row],[Data ID]],Table_Data[],3,FALSE),"")</f>
        <v>Donation Request</v>
      </c>
    </row>
    <row r="39" spans="1:5" ht="13" hidden="1" thickTop="1" x14ac:dyDescent="0.25">
      <c r="A39" s="12" t="s">
        <v>410</v>
      </c>
      <c r="B39" s="11" t="s">
        <v>118</v>
      </c>
      <c r="C39" s="15" t="str">
        <f>IFERROR(VLOOKUP(Table_Mappings[[#This Row],[Process ID]],Table_Processes[],4,FALSE),"")</f>
        <v>02.07 Donation (Request for in kind donation)</v>
      </c>
      <c r="D39" s="12" t="s">
        <v>354</v>
      </c>
      <c r="E39" s="16" t="str">
        <f>IFERROR(VLOOKUP(Table_Mappings[[#This Row],[Data ID]],Table_Data[],3,FALSE),"")</f>
        <v>Program Requirements</v>
      </c>
    </row>
    <row r="40" spans="1:5" ht="13" hidden="1" thickTop="1" x14ac:dyDescent="0.25">
      <c r="A40" s="12" t="s">
        <v>411</v>
      </c>
      <c r="B40" s="11" t="s">
        <v>118</v>
      </c>
      <c r="C40" s="15" t="str">
        <f>IFERROR(VLOOKUP(Table_Mappings[[#This Row],[Process ID]],Table_Processes[],4,FALSE),"")</f>
        <v>02.07 Donation (Request for in kind donation)</v>
      </c>
      <c r="D40" s="12" t="s">
        <v>394</v>
      </c>
      <c r="E40" s="16" t="str">
        <f>IFERROR(VLOOKUP(Table_Mappings[[#This Row],[Data ID]],Table_Data[],3,FALSE),"")</f>
        <v>Purchase Order</v>
      </c>
    </row>
    <row r="41" spans="1:5" ht="13" hidden="1" thickTop="1" x14ac:dyDescent="0.25">
      <c r="A41" s="12" t="s">
        <v>412</v>
      </c>
      <c r="B41" s="11" t="s">
        <v>121</v>
      </c>
      <c r="C41" s="15" t="str">
        <f>IFERROR(VLOOKUP(Table_Mappings[[#This Row],[Process ID]],Table_Processes[],4,FALSE),"")</f>
        <v>02.08 Procurement planning of services or works</v>
      </c>
      <c r="D41" s="12" t="s">
        <v>354</v>
      </c>
      <c r="E41" s="16" t="str">
        <f>IFERROR(VLOOKUP(Table_Mappings[[#This Row],[Data ID]],Table_Data[],3,FALSE),"")</f>
        <v>Program Requirements</v>
      </c>
    </row>
    <row r="42" spans="1:5" ht="13" hidden="1" thickTop="1" x14ac:dyDescent="0.25">
      <c r="A42" s="12" t="s">
        <v>413</v>
      </c>
      <c r="B42" s="11" t="s">
        <v>121</v>
      </c>
      <c r="C42" s="15" t="str">
        <f>IFERROR(VLOOKUP(Table_Mappings[[#This Row],[Process ID]],Table_Processes[],4,FALSE),"")</f>
        <v>02.08 Procurement planning of services or works</v>
      </c>
      <c r="D42" s="12" t="s">
        <v>365</v>
      </c>
      <c r="E42" s="16" t="str">
        <f>IFERROR(VLOOKUP(Table_Mappings[[#This Row],[Data ID]],Table_Data[],3,FALSE),"")</f>
        <v>Supplier Master</v>
      </c>
    </row>
    <row r="43" spans="1:5" ht="13" hidden="1" thickTop="1" x14ac:dyDescent="0.25">
      <c r="A43" s="12" t="s">
        <v>414</v>
      </c>
      <c r="B43" s="11" t="s">
        <v>121</v>
      </c>
      <c r="C43" s="15" t="str">
        <f>IFERROR(VLOOKUP(Table_Mappings[[#This Row],[Process ID]],Table_Processes[],4,FALSE),"")</f>
        <v>02.08 Procurement planning of services or works</v>
      </c>
      <c r="D43" s="12" t="s">
        <v>367</v>
      </c>
      <c r="E43" s="16" t="str">
        <f>IFERROR(VLOOKUP(Table_Mappings[[#This Row],[Data ID]],Table_Data[],3,FALSE),"")</f>
        <v>Item Master</v>
      </c>
    </row>
    <row r="44" spans="1:5" ht="13" hidden="1" thickTop="1" x14ac:dyDescent="0.25">
      <c r="A44" s="12" t="s">
        <v>415</v>
      </c>
      <c r="B44" s="11" t="s">
        <v>121</v>
      </c>
      <c r="C44" s="15" t="str">
        <f>IFERROR(VLOOKUP(Table_Mappings[[#This Row],[Process ID]],Table_Processes[],4,FALSE),"")</f>
        <v>02.08 Procurement planning of services or works</v>
      </c>
      <c r="D44" s="12" t="s">
        <v>369</v>
      </c>
      <c r="E44" s="16" t="str">
        <f>IFERROR(VLOOKUP(Table_Mappings[[#This Row],[Data ID]],Table_Data[],3,FALSE),"")</f>
        <v>Currency Exchange Rate Master</v>
      </c>
    </row>
    <row r="45" spans="1:5" ht="13" hidden="1" thickTop="1" x14ac:dyDescent="0.25">
      <c r="A45" s="12" t="s">
        <v>416</v>
      </c>
      <c r="B45" s="11" t="s">
        <v>121</v>
      </c>
      <c r="C45" s="15" t="str">
        <f>IFERROR(VLOOKUP(Table_Mappings[[#This Row],[Process ID]],Table_Processes[],4,FALSE),"")</f>
        <v>02.08 Procurement planning of services or works</v>
      </c>
      <c r="D45" s="12" t="s">
        <v>371</v>
      </c>
      <c r="E45" s="16" t="str">
        <f>IFERROR(VLOOKUP(Table_Mappings[[#This Row],[Data ID]],Table_Data[],3,FALSE),"")</f>
        <v>Framework Agreement</v>
      </c>
    </row>
    <row r="46" spans="1:5" ht="13" hidden="1" thickTop="1" x14ac:dyDescent="0.25">
      <c r="A46" s="12" t="s">
        <v>417</v>
      </c>
      <c r="B46" s="11" t="s">
        <v>125</v>
      </c>
      <c r="C46" s="15" t="str">
        <f>IFERROR(VLOOKUP(Table_Mappings[[#This Row],[Process ID]],Table_Processes[],4,FALSE),"")</f>
        <v xml:space="preserve">02.09 Markets assessment of services or works </v>
      </c>
      <c r="D46" s="12" t="s">
        <v>365</v>
      </c>
      <c r="E46" s="16" t="str">
        <f>IFERROR(VLOOKUP(Table_Mappings[[#This Row],[Data ID]],Table_Data[],3,FALSE),"")</f>
        <v>Supplier Master</v>
      </c>
    </row>
    <row r="47" spans="1:5" ht="13" hidden="1" thickTop="1" x14ac:dyDescent="0.25">
      <c r="A47" s="12" t="s">
        <v>418</v>
      </c>
      <c r="B47" s="11" t="s">
        <v>125</v>
      </c>
      <c r="C47" s="15" t="str">
        <f>IFERROR(VLOOKUP(Table_Mappings[[#This Row],[Process ID]],Table_Processes[],4,FALSE),"")</f>
        <v xml:space="preserve">02.09 Markets assessment of services or works </v>
      </c>
      <c r="D47" s="12" t="s">
        <v>367</v>
      </c>
      <c r="E47" s="16" t="str">
        <f>IFERROR(VLOOKUP(Table_Mappings[[#This Row],[Data ID]],Table_Data[],3,FALSE),"")</f>
        <v>Item Master</v>
      </c>
    </row>
    <row r="48" spans="1:5" ht="13" hidden="1" thickTop="1" x14ac:dyDescent="0.25">
      <c r="A48" s="12" t="s">
        <v>419</v>
      </c>
      <c r="B48" s="11" t="s">
        <v>125</v>
      </c>
      <c r="C48" s="15" t="str">
        <f>IFERROR(VLOOKUP(Table_Mappings[[#This Row],[Process ID]],Table_Processes[],4,FALSE),"")</f>
        <v xml:space="preserve">02.09 Markets assessment of services or works </v>
      </c>
      <c r="D48" s="12" t="s">
        <v>375</v>
      </c>
      <c r="E48" s="16" t="str">
        <f>IFERROR(VLOOKUP(Table_Mappings[[#This Row],[Data ID]],Table_Data[],3,FALSE),"")</f>
        <v>Bill of Quantities</v>
      </c>
    </row>
    <row r="49" spans="1:5" ht="13" hidden="1" thickTop="1" x14ac:dyDescent="0.25">
      <c r="A49" s="12" t="s">
        <v>420</v>
      </c>
      <c r="B49" s="11" t="s">
        <v>125</v>
      </c>
      <c r="C49" s="15" t="str">
        <f>IFERROR(VLOOKUP(Table_Mappings[[#This Row],[Process ID]],Table_Processes[],4,FALSE),"")</f>
        <v xml:space="preserve">02.09 Markets assessment of services or works </v>
      </c>
      <c r="D49" s="12" t="s">
        <v>377</v>
      </c>
      <c r="E49" s="16" t="str">
        <f>IFERROR(VLOOKUP(Table_Mappings[[#This Row],[Data ID]],Table_Data[],3,FALSE),"")</f>
        <v>Bill of Material</v>
      </c>
    </row>
    <row r="50" spans="1:5" ht="13" hidden="1" thickTop="1" x14ac:dyDescent="0.25">
      <c r="A50" s="12" t="s">
        <v>421</v>
      </c>
      <c r="B50" s="11" t="s">
        <v>128</v>
      </c>
      <c r="C50" s="15" t="str">
        <f>IFERROR(VLOOKUP(Table_Mappings[[#This Row],[Process ID]],Table_Processes[],4,FALSE),"")</f>
        <v>02.10 Procurement method selection</v>
      </c>
      <c r="D50" s="12" t="s">
        <v>379</v>
      </c>
      <c r="E50" s="16" t="str">
        <f>IFERROR(VLOOKUP(Table_Mappings[[#This Row],[Data ID]],Table_Data[],3,FALSE),"")</f>
        <v>Request for Quote</v>
      </c>
    </row>
    <row r="51" spans="1:5" ht="13" hidden="1" thickTop="1" x14ac:dyDescent="0.25">
      <c r="A51" s="12" t="s">
        <v>422</v>
      </c>
      <c r="B51" s="11" t="s">
        <v>131</v>
      </c>
      <c r="C51" s="15" t="str">
        <f>IFERROR(VLOOKUP(Table_Mappings[[#This Row],[Process ID]],Table_Processes[],4,FALSE),"")</f>
        <v xml:space="preserve">02.11 Procurement derogation validation </v>
      </c>
      <c r="D51" s="12" t="s">
        <v>365</v>
      </c>
      <c r="E51" s="16" t="str">
        <f>IFERROR(VLOOKUP(Table_Mappings[[#This Row],[Data ID]],Table_Data[],3,FALSE),"")</f>
        <v>Supplier Master</v>
      </c>
    </row>
    <row r="52" spans="1:5" ht="13" hidden="1" thickTop="1" x14ac:dyDescent="0.25">
      <c r="A52" s="12" t="s">
        <v>423</v>
      </c>
      <c r="B52" s="11" t="s">
        <v>131</v>
      </c>
      <c r="C52" s="15" t="str">
        <f>IFERROR(VLOOKUP(Table_Mappings[[#This Row],[Process ID]],Table_Processes[],4,FALSE),"")</f>
        <v xml:space="preserve">02.11 Procurement derogation validation </v>
      </c>
      <c r="D52" s="12" t="s">
        <v>367</v>
      </c>
      <c r="E52" s="16" t="str">
        <f>IFERROR(VLOOKUP(Table_Mappings[[#This Row],[Data ID]],Table_Data[],3,FALSE),"")</f>
        <v>Item Master</v>
      </c>
    </row>
    <row r="53" spans="1:5" ht="13" hidden="1" thickTop="1" x14ac:dyDescent="0.25">
      <c r="A53" s="12" t="s">
        <v>424</v>
      </c>
      <c r="B53" s="11" t="s">
        <v>131</v>
      </c>
      <c r="C53" s="15" t="str">
        <f>IFERROR(VLOOKUP(Table_Mappings[[#This Row],[Process ID]],Table_Processes[],4,FALSE),"")</f>
        <v xml:space="preserve">02.11 Procurement derogation validation </v>
      </c>
      <c r="D53" s="12" t="s">
        <v>379</v>
      </c>
      <c r="E53" s="16" t="str">
        <f>IFERROR(VLOOKUP(Table_Mappings[[#This Row],[Data ID]],Table_Data[],3,FALSE),"")</f>
        <v>Request for Quote</v>
      </c>
    </row>
    <row r="54" spans="1:5" ht="13" hidden="1" thickTop="1" x14ac:dyDescent="0.25">
      <c r="A54" s="12" t="s">
        <v>425</v>
      </c>
      <c r="B54" s="11" t="s">
        <v>131</v>
      </c>
      <c r="C54" s="15" t="str">
        <f>IFERROR(VLOOKUP(Table_Mappings[[#This Row],[Process ID]],Table_Processes[],4,FALSE),"")</f>
        <v xml:space="preserve">02.11 Procurement derogation validation </v>
      </c>
      <c r="D54" s="12" t="s">
        <v>384</v>
      </c>
      <c r="E54" s="16" t="str">
        <f>IFERROR(VLOOKUP(Table_Mappings[[#This Row],[Data ID]],Table_Data[],3,FALSE),"")</f>
        <v>Procurement Waiver</v>
      </c>
    </row>
    <row r="55" spans="1:5" ht="25.5" hidden="1" thickTop="1" x14ac:dyDescent="0.25">
      <c r="A55" s="12" t="s">
        <v>426</v>
      </c>
      <c r="B55" s="11" t="s">
        <v>134</v>
      </c>
      <c r="C55" s="15" t="str">
        <f>IFERROR(VLOOKUP(Table_Mappings[[#This Row],[Process ID]],Table_Processes[],4,FALSE),"")</f>
        <v>02.12 Purchase Order management for services or works</v>
      </c>
      <c r="D55" s="12" t="s">
        <v>365</v>
      </c>
      <c r="E55" s="16" t="str">
        <f>IFERROR(VLOOKUP(Table_Mappings[[#This Row],[Data ID]],Table_Data[],3,FALSE),"")</f>
        <v>Supplier Master</v>
      </c>
    </row>
    <row r="56" spans="1:5" ht="25.5" hidden="1" thickTop="1" x14ac:dyDescent="0.25">
      <c r="A56" s="12" t="s">
        <v>427</v>
      </c>
      <c r="B56" s="11" t="s">
        <v>134</v>
      </c>
      <c r="C56" s="15" t="str">
        <f>IFERROR(VLOOKUP(Table_Mappings[[#This Row],[Process ID]],Table_Processes[],4,FALSE),"")</f>
        <v>02.12 Purchase Order management for services or works</v>
      </c>
      <c r="D56" s="12" t="s">
        <v>367</v>
      </c>
      <c r="E56" s="16" t="str">
        <f>IFERROR(VLOOKUP(Table_Mappings[[#This Row],[Data ID]],Table_Data[],3,FALSE),"")</f>
        <v>Item Master</v>
      </c>
    </row>
    <row r="57" spans="1:5" ht="25.5" hidden="1" thickTop="1" x14ac:dyDescent="0.25">
      <c r="A57" s="12" t="s">
        <v>428</v>
      </c>
      <c r="B57" s="11" t="s">
        <v>134</v>
      </c>
      <c r="C57" s="15" t="str">
        <f>IFERROR(VLOOKUP(Table_Mappings[[#This Row],[Process ID]],Table_Processes[],4,FALSE),"")</f>
        <v>02.12 Purchase Order management for services or works</v>
      </c>
      <c r="D57" s="12" t="s">
        <v>369</v>
      </c>
      <c r="E57" s="16" t="str">
        <f>IFERROR(VLOOKUP(Table_Mappings[[#This Row],[Data ID]],Table_Data[],3,FALSE),"")</f>
        <v>Currency Exchange Rate Master</v>
      </c>
    </row>
    <row r="58" spans="1:5" ht="25.5" hidden="1" thickTop="1" x14ac:dyDescent="0.25">
      <c r="A58" s="12" t="s">
        <v>429</v>
      </c>
      <c r="B58" s="11" t="s">
        <v>134</v>
      </c>
      <c r="C58" s="15" t="str">
        <f>IFERROR(VLOOKUP(Table_Mappings[[#This Row],[Process ID]],Table_Processes[],4,FALSE),"")</f>
        <v>02.12 Purchase Order management for services or works</v>
      </c>
      <c r="D58" s="12" t="s">
        <v>371</v>
      </c>
      <c r="E58" s="16" t="str">
        <f>IFERROR(VLOOKUP(Table_Mappings[[#This Row],[Data ID]],Table_Data[],3,FALSE),"")</f>
        <v>Framework Agreement</v>
      </c>
    </row>
    <row r="59" spans="1:5" ht="25.5" hidden="1" thickTop="1" x14ac:dyDescent="0.25">
      <c r="A59" s="12" t="s">
        <v>430</v>
      </c>
      <c r="B59" s="11" t="s">
        <v>134</v>
      </c>
      <c r="C59" s="15" t="str">
        <f>IFERROR(VLOOKUP(Table_Mappings[[#This Row],[Process ID]],Table_Processes[],4,FALSE),"")</f>
        <v>02.12 Purchase Order management for services or works</v>
      </c>
      <c r="D59" s="12" t="s">
        <v>390</v>
      </c>
      <c r="E59" s="16" t="str">
        <f>IFERROR(VLOOKUP(Table_Mappings[[#This Row],[Data ID]],Table_Data[],3,FALSE),"")</f>
        <v>Purchase Requisition</v>
      </c>
    </row>
    <row r="60" spans="1:5" ht="25.5" hidden="1" thickTop="1" x14ac:dyDescent="0.25">
      <c r="A60" s="12" t="s">
        <v>431</v>
      </c>
      <c r="B60" s="11" t="s">
        <v>134</v>
      </c>
      <c r="C60" s="15" t="str">
        <f>IFERROR(VLOOKUP(Table_Mappings[[#This Row],[Process ID]],Table_Processes[],4,FALSE),"")</f>
        <v>02.12 Purchase Order management for services or works</v>
      </c>
      <c r="D60" s="12" t="s">
        <v>392</v>
      </c>
      <c r="E60" s="16" t="str">
        <f>IFERROR(VLOOKUP(Table_Mappings[[#This Row],[Data ID]],Table_Data[],3,FALSE),"")</f>
        <v>Purchase Requisition Workflow</v>
      </c>
    </row>
    <row r="61" spans="1:5" ht="25.5" hidden="1" thickTop="1" x14ac:dyDescent="0.25">
      <c r="A61" s="12" t="s">
        <v>432</v>
      </c>
      <c r="B61" s="11" t="s">
        <v>134</v>
      </c>
      <c r="C61" s="15" t="str">
        <f>IFERROR(VLOOKUP(Table_Mappings[[#This Row],[Process ID]],Table_Processes[],4,FALSE),"")</f>
        <v>02.12 Purchase Order management for services or works</v>
      </c>
      <c r="D61" s="12" t="s">
        <v>394</v>
      </c>
      <c r="E61" s="16" t="str">
        <f>IFERROR(VLOOKUP(Table_Mappings[[#This Row],[Data ID]],Table_Data[],3,FALSE),"")</f>
        <v>Purchase Order</v>
      </c>
    </row>
    <row r="62" spans="1:5" ht="25.5" hidden="1" thickTop="1" x14ac:dyDescent="0.25">
      <c r="A62" s="12" t="s">
        <v>433</v>
      </c>
      <c r="B62" s="11" t="s">
        <v>134</v>
      </c>
      <c r="C62" s="15" t="str">
        <f>IFERROR(VLOOKUP(Table_Mappings[[#This Row],[Process ID]],Table_Processes[],4,FALSE),"")</f>
        <v>02.12 Purchase Order management for services or works</v>
      </c>
      <c r="D62" s="12" t="s">
        <v>396</v>
      </c>
      <c r="E62" s="16" t="str">
        <f>IFERROR(VLOOKUP(Table_Mappings[[#This Row],[Data ID]],Table_Data[],3,FALSE),"")</f>
        <v>Purchase Order Workflow</v>
      </c>
    </row>
    <row r="63" spans="1:5" ht="25.5" hidden="1" thickTop="1" x14ac:dyDescent="0.25">
      <c r="A63" s="12" t="s">
        <v>434</v>
      </c>
      <c r="B63" s="11" t="s">
        <v>134</v>
      </c>
      <c r="C63" s="15" t="str">
        <f>IFERROR(VLOOKUP(Table_Mappings[[#This Row],[Process ID]],Table_Processes[],4,FALSE),"")</f>
        <v>02.12 Purchase Order management for services or works</v>
      </c>
      <c r="D63" s="12" t="s">
        <v>398</v>
      </c>
      <c r="E63" s="16" t="str">
        <f>IFERROR(VLOOKUP(Table_Mappings[[#This Row],[Data ID]],Table_Data[],3,FALSE),"")</f>
        <v>Bid Analysis</v>
      </c>
    </row>
    <row r="64" spans="1:5" ht="13" hidden="1" thickTop="1" x14ac:dyDescent="0.25">
      <c r="A64" s="12" t="s">
        <v>435</v>
      </c>
      <c r="B64" s="11" t="s">
        <v>137</v>
      </c>
      <c r="C64" s="15" t="str">
        <f>IFERROR(VLOOKUP(Table_Mappings[[#This Row],[Process ID]],Table_Processes[],4,FALSE),"")</f>
        <v xml:space="preserve">02.13 Confirmation of service delivered </v>
      </c>
      <c r="D64" s="12" t="s">
        <v>394</v>
      </c>
      <c r="E64" s="16" t="str">
        <f>IFERROR(VLOOKUP(Table_Mappings[[#This Row],[Data ID]],Table_Data[],3,FALSE),"")</f>
        <v>Purchase Order</v>
      </c>
    </row>
    <row r="65" spans="1:7" ht="13" hidden="1" thickTop="1" x14ac:dyDescent="0.25">
      <c r="A65" s="12" t="s">
        <v>436</v>
      </c>
      <c r="B65" s="11" t="s">
        <v>137</v>
      </c>
      <c r="C65" s="15" t="str">
        <f>IFERROR(VLOOKUP(Table_Mappings[[#This Row],[Process ID]],Table_Processes[],4,FALSE),"")</f>
        <v xml:space="preserve">02.13 Confirmation of service delivered </v>
      </c>
      <c r="D65" s="12" t="s">
        <v>437</v>
      </c>
      <c r="E65" s="16" t="str">
        <f>IFERROR(VLOOKUP(Table_Mappings[[#This Row],[Data ID]],Table_Data[],3,FALSE),"")</f>
        <v>Service Delivery Confirmation</v>
      </c>
      <c r="G65" s="179"/>
    </row>
    <row r="66" spans="1:7" ht="13" hidden="1" thickTop="1" x14ac:dyDescent="0.25">
      <c r="A66" s="12" t="s">
        <v>438</v>
      </c>
      <c r="B66" s="11" t="s">
        <v>140</v>
      </c>
      <c r="C66" s="15" t="str">
        <f>IFERROR(VLOOKUP(Table_Mappings[[#This Row],[Process ID]],Table_Processes[],4,FALSE),"")</f>
        <v>02.14 Invoice matching and payment</v>
      </c>
      <c r="D66" s="12" t="s">
        <v>402</v>
      </c>
      <c r="E66" s="16" t="str">
        <f>IFERROR(VLOOKUP(Table_Mappings[[#This Row],[Data ID]],Table_Data[],3,FALSE),"")</f>
        <v>Supplier Invoice</v>
      </c>
    </row>
    <row r="67" spans="1:7" ht="13" hidden="1" thickTop="1" x14ac:dyDescent="0.25">
      <c r="A67" s="12" t="s">
        <v>439</v>
      </c>
      <c r="B67" s="11" t="s">
        <v>140</v>
      </c>
      <c r="C67" s="15" t="str">
        <f>IFERROR(VLOOKUP(Table_Mappings[[#This Row],[Process ID]],Table_Processes[],4,FALSE),"")</f>
        <v>02.14 Invoice matching and payment</v>
      </c>
      <c r="D67" s="12" t="s">
        <v>394</v>
      </c>
      <c r="E67" s="16" t="str">
        <f>IFERROR(VLOOKUP(Table_Mappings[[#This Row],[Data ID]],Table_Data[],3,FALSE),"")</f>
        <v>Purchase Order</v>
      </c>
    </row>
    <row r="68" spans="1:7" ht="13" hidden="1" thickTop="1" x14ac:dyDescent="0.25">
      <c r="A68" s="12" t="s">
        <v>440</v>
      </c>
      <c r="B68" s="11" t="s">
        <v>140</v>
      </c>
      <c r="C68" s="15" t="str">
        <f>IFERROR(VLOOKUP(Table_Mappings[[#This Row],[Process ID]],Table_Processes[],4,FALSE),"")</f>
        <v>02.14 Invoice matching and payment</v>
      </c>
      <c r="D68" s="12" t="s">
        <v>437</v>
      </c>
      <c r="E68" s="16" t="str">
        <f>IFERROR(VLOOKUP(Table_Mappings[[#This Row],[Data ID]],Table_Data[],3,FALSE),"")</f>
        <v>Service Delivery Confirmation</v>
      </c>
      <c r="G68" s="179"/>
    </row>
    <row r="69" spans="1:7" ht="13" hidden="1" thickTop="1" x14ac:dyDescent="0.25">
      <c r="A69" s="12" t="s">
        <v>441</v>
      </c>
      <c r="B69" s="11" t="s">
        <v>140</v>
      </c>
      <c r="C69" s="15" t="str">
        <f>IFERROR(VLOOKUP(Table_Mappings[[#This Row],[Process ID]],Table_Processes[],4,FALSE),"")</f>
        <v>02.14 Invoice matching and payment</v>
      </c>
      <c r="D69" s="12" t="s">
        <v>407</v>
      </c>
      <c r="E69" s="16" t="str">
        <f>IFERROR(VLOOKUP(Table_Mappings[[#This Row],[Data ID]],Table_Data[],3,FALSE),"")</f>
        <v>Supplier Payment</v>
      </c>
    </row>
    <row r="70" spans="1:7" ht="25.5" hidden="1" thickTop="1" x14ac:dyDescent="0.25">
      <c r="A70" s="12" t="s">
        <v>442</v>
      </c>
      <c r="B70" s="11" t="s">
        <v>143</v>
      </c>
      <c r="C70" s="15" t="str">
        <f>IFERROR(VLOOKUP(Table_Mappings[[#This Row],[Process ID]],Table_Processes[],4,FALSE),"")</f>
        <v>02.15 Donation (Request for donation of service or works)</v>
      </c>
      <c r="D70" s="12" t="s">
        <v>409</v>
      </c>
      <c r="E70" s="16" t="str">
        <f>IFERROR(VLOOKUP(Table_Mappings[[#This Row],[Data ID]],Table_Data[],3,FALSE),"")</f>
        <v>Donation Request</v>
      </c>
    </row>
    <row r="71" spans="1:7" ht="25.5" hidden="1" thickTop="1" x14ac:dyDescent="0.25">
      <c r="A71" s="12" t="s">
        <v>443</v>
      </c>
      <c r="B71" s="11" t="s">
        <v>143</v>
      </c>
      <c r="C71" s="15" t="str">
        <f>IFERROR(VLOOKUP(Table_Mappings[[#This Row],[Process ID]],Table_Processes[],4,FALSE),"")</f>
        <v>02.15 Donation (Request for donation of service or works)</v>
      </c>
      <c r="D71" s="12" t="s">
        <v>354</v>
      </c>
      <c r="E71" s="16" t="str">
        <f>IFERROR(VLOOKUP(Table_Mappings[[#This Row],[Data ID]],Table_Data[],3,FALSE),"")</f>
        <v>Program Requirements</v>
      </c>
    </row>
    <row r="72" spans="1:7" ht="25.5" hidden="1" thickTop="1" x14ac:dyDescent="0.25">
      <c r="A72" s="12" t="s">
        <v>444</v>
      </c>
      <c r="B72" s="11" t="s">
        <v>143</v>
      </c>
      <c r="C72" s="15" t="str">
        <f>IFERROR(VLOOKUP(Table_Mappings[[#This Row],[Process ID]],Table_Processes[],4,FALSE),"")</f>
        <v>02.15 Donation (Request for donation of service or works)</v>
      </c>
      <c r="D72" s="12" t="s">
        <v>394</v>
      </c>
      <c r="E72" s="16" t="str">
        <f>IFERROR(VLOOKUP(Table_Mappings[[#This Row],[Data ID]],Table_Data[],3,FALSE),"")</f>
        <v>Purchase Order</v>
      </c>
    </row>
    <row r="73" spans="1:7" ht="13" hidden="1" thickTop="1" x14ac:dyDescent="0.25">
      <c r="A73" s="12" t="s">
        <v>445</v>
      </c>
      <c r="B73" s="11" t="s">
        <v>149</v>
      </c>
      <c r="C73" s="15" t="str">
        <f>IFERROR(VLOOKUP(Table_Mappings[[#This Row],[Process ID]],Table_Processes[],4,FALSE),"")</f>
        <v>03.01 Warehousing planning</v>
      </c>
      <c r="D73" s="12" t="s">
        <v>354</v>
      </c>
      <c r="E73" s="16" t="str">
        <f>IFERROR(VLOOKUP(Table_Mappings[[#This Row],[Data ID]],Table_Data[],3,FALSE),"")</f>
        <v>Program Requirements</v>
      </c>
    </row>
    <row r="74" spans="1:7" ht="13" hidden="1" thickTop="1" x14ac:dyDescent="0.25">
      <c r="A74" s="12" t="s">
        <v>446</v>
      </c>
      <c r="B74" s="11" t="s">
        <v>149</v>
      </c>
      <c r="C74" s="15" t="str">
        <f>IFERROR(VLOOKUP(Table_Mappings[[#This Row],[Process ID]],Table_Processes[],4,FALSE),"")</f>
        <v>03.01 Warehousing planning</v>
      </c>
      <c r="D74" s="12" t="s">
        <v>357</v>
      </c>
      <c r="E74" s="16" t="str">
        <f>IFERROR(VLOOKUP(Table_Mappings[[#This Row],[Data ID]],Table_Data[],3,FALSE),"")</f>
        <v>Procurement Plan</v>
      </c>
    </row>
    <row r="75" spans="1:7" ht="13" hidden="1" thickTop="1" x14ac:dyDescent="0.25">
      <c r="A75" s="12" t="s">
        <v>447</v>
      </c>
      <c r="B75" s="11" t="s">
        <v>149</v>
      </c>
      <c r="C75" s="15" t="str">
        <f>IFERROR(VLOOKUP(Table_Mappings[[#This Row],[Process ID]],Table_Processes[],4,FALSE),"")</f>
        <v>03.01 Warehousing planning</v>
      </c>
      <c r="D75" s="12" t="s">
        <v>359</v>
      </c>
      <c r="E75" s="16" t="str">
        <f>IFERROR(VLOOKUP(Table_Mappings[[#This Row],[Data ID]],Table_Data[],3,FALSE),"")</f>
        <v>Delivery Plan</v>
      </c>
    </row>
    <row r="76" spans="1:7" ht="13" hidden="1" thickTop="1" x14ac:dyDescent="0.25">
      <c r="A76" s="12" t="s">
        <v>448</v>
      </c>
      <c r="B76" s="11" t="s">
        <v>149</v>
      </c>
      <c r="C76" s="15" t="str">
        <f>IFERROR(VLOOKUP(Table_Mappings[[#This Row],[Process ID]],Table_Processes[],4,FALSE),"")</f>
        <v>03.01 Warehousing planning</v>
      </c>
      <c r="D76" s="12" t="s">
        <v>449</v>
      </c>
      <c r="E76" s="16" t="str">
        <f>IFERROR(VLOOKUP(Table_Mappings[[#This Row],[Data ID]],Table_Data[],3,FALSE),"")</f>
        <v>Warehouse Master</v>
      </c>
    </row>
    <row r="77" spans="1:7" ht="13" hidden="1" thickTop="1" x14ac:dyDescent="0.25">
      <c r="A77" s="12" t="s">
        <v>450</v>
      </c>
      <c r="B77" s="11" t="s">
        <v>149</v>
      </c>
      <c r="C77" s="15" t="str">
        <f>IFERROR(VLOOKUP(Table_Mappings[[#This Row],[Process ID]],Table_Processes[],4,FALSE),"")</f>
        <v>03.01 Warehousing planning</v>
      </c>
      <c r="D77" s="12" t="s">
        <v>451</v>
      </c>
      <c r="E77" s="16" t="str">
        <f>IFERROR(VLOOKUP(Table_Mappings[[#This Row],[Data ID]],Table_Data[],3,FALSE),"")</f>
        <v>Item Master</v>
      </c>
    </row>
    <row r="78" spans="1:7" ht="13" hidden="1" thickTop="1" x14ac:dyDescent="0.25">
      <c r="A78" s="12" t="s">
        <v>452</v>
      </c>
      <c r="B78" s="11" t="s">
        <v>152</v>
      </c>
      <c r="C78" s="15" t="str">
        <f>IFERROR(VLOOKUP(Table_Mappings[[#This Row],[Process ID]],Table_Processes[],4,FALSE),"")</f>
        <v>03.02 Reception of goods or kits</v>
      </c>
      <c r="D78" s="12" t="s">
        <v>394</v>
      </c>
      <c r="E78" s="16" t="str">
        <f>IFERROR(VLOOKUP(Table_Mappings[[#This Row],[Data ID]],Table_Data[],3,FALSE),"")</f>
        <v>Purchase Order</v>
      </c>
    </row>
    <row r="79" spans="1:7" ht="13" hidden="1" thickTop="1" x14ac:dyDescent="0.25">
      <c r="A79" s="12" t="s">
        <v>453</v>
      </c>
      <c r="B79" s="11" t="s">
        <v>152</v>
      </c>
      <c r="C79" s="15" t="str">
        <f>IFERROR(VLOOKUP(Table_Mappings[[#This Row],[Process ID]],Table_Processes[],4,FALSE),"")</f>
        <v>03.02 Reception of goods or kits</v>
      </c>
      <c r="D79" s="12" t="s">
        <v>405</v>
      </c>
      <c r="E79" s="16" t="str">
        <f>IFERROR(VLOOKUP(Table_Mappings[[#This Row],[Data ID]],Table_Data[],3,FALSE),"")</f>
        <v>Goods Received Note</v>
      </c>
    </row>
    <row r="80" spans="1:7" ht="13" hidden="1" thickTop="1" x14ac:dyDescent="0.25">
      <c r="A80" s="12" t="s">
        <v>454</v>
      </c>
      <c r="B80" s="11" t="s">
        <v>155</v>
      </c>
      <c r="C80" s="15" t="str">
        <f>IFERROR(VLOOKUP(Table_Mappings[[#This Row],[Process ID]],Table_Processes[],4,FALSE),"")</f>
        <v xml:space="preserve">03.03 Reception for direct delivery </v>
      </c>
      <c r="D80" s="12" t="s">
        <v>394</v>
      </c>
      <c r="E80" s="16" t="str">
        <f>IFERROR(VLOOKUP(Table_Mappings[[#This Row],[Data ID]],Table_Data[],3,FALSE),"")</f>
        <v>Purchase Order</v>
      </c>
    </row>
    <row r="81" spans="1:5" ht="13" hidden="1" thickTop="1" x14ac:dyDescent="0.25">
      <c r="A81" s="12" t="s">
        <v>455</v>
      </c>
      <c r="B81" s="11" t="s">
        <v>155</v>
      </c>
      <c r="C81" s="15" t="str">
        <f>IFERROR(VLOOKUP(Table_Mappings[[#This Row],[Process ID]],Table_Processes[],4,FALSE),"")</f>
        <v xml:space="preserve">03.03 Reception for direct delivery </v>
      </c>
      <c r="D81" s="12" t="s">
        <v>405</v>
      </c>
      <c r="E81" s="16" t="str">
        <f>IFERROR(VLOOKUP(Table_Mappings[[#This Row],[Data ID]],Table_Data[],3,FALSE),"")</f>
        <v>Goods Received Note</v>
      </c>
    </row>
    <row r="82" spans="1:5" ht="13" hidden="1" thickTop="1" x14ac:dyDescent="0.25">
      <c r="A82" s="12" t="s">
        <v>456</v>
      </c>
      <c r="B82" s="11" t="s">
        <v>158</v>
      </c>
      <c r="C82" s="15" t="str">
        <f>IFERROR(VLOOKUP(Table_Mappings[[#This Row],[Process ID]],Table_Processes[],4,FALSE),"")</f>
        <v xml:space="preserve">03.04 Reconditionning </v>
      </c>
      <c r="D82" s="12" t="s">
        <v>457</v>
      </c>
      <c r="E82" s="16" t="str">
        <f>IFERROR(VLOOKUP(Table_Mappings[[#This Row],[Data ID]],Table_Data[],3,FALSE),"")</f>
        <v>Packing List</v>
      </c>
    </row>
    <row r="83" spans="1:5" ht="13" hidden="1" thickTop="1" x14ac:dyDescent="0.25">
      <c r="A83" s="12" t="s">
        <v>458</v>
      </c>
      <c r="B83" s="11" t="s">
        <v>158</v>
      </c>
      <c r="C83" s="15" t="str">
        <f>IFERROR(VLOOKUP(Table_Mappings[[#This Row],[Process ID]],Table_Processes[],4,FALSE),"")</f>
        <v xml:space="preserve">03.04 Reconditionning </v>
      </c>
      <c r="D83" s="12" t="s">
        <v>459</v>
      </c>
      <c r="E83" s="16" t="str">
        <f>IFERROR(VLOOKUP(Table_Mappings[[#This Row],[Data ID]],Table_Data[],3,FALSE),"")</f>
        <v>Kit Order</v>
      </c>
    </row>
    <row r="84" spans="1:5" ht="13" hidden="1" thickTop="1" x14ac:dyDescent="0.25">
      <c r="A84" s="12" t="s">
        <v>460</v>
      </c>
      <c r="B84" s="11" t="s">
        <v>161</v>
      </c>
      <c r="C84" s="15" t="str">
        <f>IFERROR(VLOOKUP(Table_Mappings[[#This Row],[Process ID]],Table_Processes[],4,FALSE),"")</f>
        <v>03.05 Assembling kits</v>
      </c>
      <c r="D84" s="12" t="s">
        <v>377</v>
      </c>
      <c r="E84" s="16" t="str">
        <f>IFERROR(VLOOKUP(Table_Mappings[[#This Row],[Data ID]],Table_Data[],3,FALSE),"")</f>
        <v>Bill of Material</v>
      </c>
    </row>
    <row r="85" spans="1:5" ht="13" hidden="1" thickTop="1" x14ac:dyDescent="0.25">
      <c r="A85" s="12" t="s">
        <v>461</v>
      </c>
      <c r="B85" s="11" t="s">
        <v>161</v>
      </c>
      <c r="C85" s="15" t="str">
        <f>IFERROR(VLOOKUP(Table_Mappings[[#This Row],[Process ID]],Table_Processes[],4,FALSE),"")</f>
        <v>03.05 Assembling kits</v>
      </c>
      <c r="D85" s="12" t="s">
        <v>459</v>
      </c>
      <c r="E85" s="16" t="str">
        <f>IFERROR(VLOOKUP(Table_Mappings[[#This Row],[Data ID]],Table_Data[],3,FALSE),"")</f>
        <v>Kit Order</v>
      </c>
    </row>
    <row r="86" spans="1:5" ht="13" hidden="1" thickTop="1" x14ac:dyDescent="0.25">
      <c r="A86" s="12" t="s">
        <v>462</v>
      </c>
      <c r="B86" s="11" t="s">
        <v>161</v>
      </c>
      <c r="C86" s="15" t="str">
        <f>IFERROR(VLOOKUP(Table_Mappings[[#This Row],[Process ID]],Table_Processes[],4,FALSE),"")</f>
        <v>03.05 Assembling kits</v>
      </c>
      <c r="D86" s="12" t="s">
        <v>463</v>
      </c>
      <c r="E86" s="16" t="str">
        <f>IFERROR(VLOOKUP(Table_Mappings[[#This Row],[Data ID]],Table_Data[],3,FALSE),"")</f>
        <v>Inventory Transaction</v>
      </c>
    </row>
    <row r="87" spans="1:5" ht="13" hidden="1" thickTop="1" x14ac:dyDescent="0.25">
      <c r="A87" s="12" t="s">
        <v>464</v>
      </c>
      <c r="B87" s="11" t="s">
        <v>161</v>
      </c>
      <c r="C87" s="15" t="str">
        <f>IFERROR(VLOOKUP(Table_Mappings[[#This Row],[Process ID]],Table_Processes[],4,FALSE),"")</f>
        <v>03.05 Assembling kits</v>
      </c>
      <c r="D87" s="12" t="s">
        <v>465</v>
      </c>
      <c r="E87" s="16" t="str">
        <f>IFERROR(VLOOKUP(Table_Mappings[[#This Row],[Data ID]],Table_Data[],3,FALSE),"")</f>
        <v>Picking List</v>
      </c>
    </row>
    <row r="88" spans="1:5" ht="13" hidden="1" thickTop="1" x14ac:dyDescent="0.25">
      <c r="A88" s="12" t="s">
        <v>466</v>
      </c>
      <c r="B88" s="11" t="s">
        <v>164</v>
      </c>
      <c r="C88" s="15" t="str">
        <f>IFERROR(VLOOKUP(Table_Mappings[[#This Row],[Process ID]],Table_Processes[],4,FALSE),"")</f>
        <v>03.06 Disassembling kits</v>
      </c>
      <c r="D88" s="12" t="s">
        <v>459</v>
      </c>
      <c r="E88" s="16" t="str">
        <f>IFERROR(VLOOKUP(Table_Mappings[[#This Row],[Data ID]],Table_Data[],3,FALSE),"")</f>
        <v>Kit Order</v>
      </c>
    </row>
    <row r="89" spans="1:5" ht="13" hidden="1" thickTop="1" x14ac:dyDescent="0.25">
      <c r="A89" s="12" t="s">
        <v>467</v>
      </c>
      <c r="B89" s="11" t="s">
        <v>164</v>
      </c>
      <c r="C89" s="15" t="str">
        <f>IFERROR(VLOOKUP(Table_Mappings[[#This Row],[Process ID]],Table_Processes[],4,FALSE),"")</f>
        <v>03.06 Disassembling kits</v>
      </c>
      <c r="D89" s="12" t="s">
        <v>463</v>
      </c>
      <c r="E89" s="16" t="str">
        <f>IFERROR(VLOOKUP(Table_Mappings[[#This Row],[Data ID]],Table_Data[],3,FALSE),"")</f>
        <v>Inventory Transaction</v>
      </c>
    </row>
    <row r="90" spans="1:5" ht="13" hidden="1" thickTop="1" x14ac:dyDescent="0.25">
      <c r="A90" s="12" t="s">
        <v>468</v>
      </c>
      <c r="B90" s="11" t="s">
        <v>164</v>
      </c>
      <c r="C90" s="15" t="str">
        <f>IFERROR(VLOOKUP(Table_Mappings[[#This Row],[Process ID]],Table_Processes[],4,FALSE),"")</f>
        <v>03.06 Disassembling kits</v>
      </c>
      <c r="D90" s="12" t="s">
        <v>449</v>
      </c>
      <c r="E90" s="16" t="str">
        <f>IFERROR(VLOOKUP(Table_Mappings[[#This Row],[Data ID]],Table_Data[],3,FALSE),"")</f>
        <v>Warehouse Master</v>
      </c>
    </row>
    <row r="91" spans="1:5" ht="13" hidden="1" thickTop="1" x14ac:dyDescent="0.25">
      <c r="A91" s="12" t="s">
        <v>469</v>
      </c>
      <c r="B91" s="11" t="s">
        <v>167</v>
      </c>
      <c r="C91" s="15" t="str">
        <f>IFERROR(VLOOKUP(Table_Mappings[[#This Row],[Process ID]],Table_Processes[],4,FALSE),"")</f>
        <v>03.07 Stock transfer</v>
      </c>
      <c r="D91" s="12" t="s">
        <v>470</v>
      </c>
      <c r="E91" s="16" t="str">
        <f>IFERROR(VLOOKUP(Table_Mappings[[#This Row],[Data ID]],Table_Data[],3,FALSE),"")</f>
        <v>Delivery Plan</v>
      </c>
    </row>
    <row r="92" spans="1:5" ht="13" hidden="1" thickTop="1" x14ac:dyDescent="0.25">
      <c r="A92" s="12" t="s">
        <v>471</v>
      </c>
      <c r="B92" s="11" t="s">
        <v>167</v>
      </c>
      <c r="C92" s="15" t="str">
        <f>IFERROR(VLOOKUP(Table_Mappings[[#This Row],[Process ID]],Table_Processes[],4,FALSE),"")</f>
        <v>03.07 Stock transfer</v>
      </c>
      <c r="D92" s="12" t="s">
        <v>472</v>
      </c>
      <c r="E92" s="16" t="str">
        <f>IFERROR(VLOOKUP(Table_Mappings[[#This Row],[Data ID]],Table_Data[],3,FALSE),"")</f>
        <v>Inventory Transactions</v>
      </c>
    </row>
    <row r="93" spans="1:5" ht="13" hidden="1" thickTop="1" x14ac:dyDescent="0.25">
      <c r="A93" s="12" t="s">
        <v>473</v>
      </c>
      <c r="B93" s="11" t="s">
        <v>170</v>
      </c>
      <c r="C93" s="15" t="str">
        <f>IFERROR(VLOOKUP(Table_Mappings[[#This Row],[Process ID]],Table_Processes[],4,FALSE),"")</f>
        <v>03.08 Outgoing goods or kits</v>
      </c>
      <c r="D93" s="12" t="s">
        <v>474</v>
      </c>
      <c r="E93" s="16" t="str">
        <f>IFERROR(VLOOKUP(Table_Mappings[[#This Row],[Data ID]],Table_Data[],3,FALSE),"")</f>
        <v>Shipment</v>
      </c>
    </row>
    <row r="94" spans="1:5" ht="13" hidden="1" thickTop="1" x14ac:dyDescent="0.25">
      <c r="A94" s="12" t="s">
        <v>475</v>
      </c>
      <c r="B94" s="11" t="s">
        <v>170</v>
      </c>
      <c r="C94" s="15" t="str">
        <f>IFERROR(VLOOKUP(Table_Mappings[[#This Row],[Process ID]],Table_Processes[],4,FALSE),"")</f>
        <v>03.08 Outgoing goods or kits</v>
      </c>
      <c r="D94" s="12" t="s">
        <v>465</v>
      </c>
      <c r="E94" s="16" t="str">
        <f>IFERROR(VLOOKUP(Table_Mappings[[#This Row],[Data ID]],Table_Data[],3,FALSE),"")</f>
        <v>Picking List</v>
      </c>
    </row>
    <row r="95" spans="1:5" ht="13" hidden="1" thickTop="1" x14ac:dyDescent="0.25">
      <c r="A95" s="12" t="s">
        <v>476</v>
      </c>
      <c r="B95" s="11" t="s">
        <v>170</v>
      </c>
      <c r="C95" s="15" t="str">
        <f>IFERROR(VLOOKUP(Table_Mappings[[#This Row],[Process ID]],Table_Processes[],4,FALSE),"")</f>
        <v>03.08 Outgoing goods or kits</v>
      </c>
      <c r="D95" s="12" t="s">
        <v>477</v>
      </c>
      <c r="E95" s="16" t="str">
        <f>IFERROR(VLOOKUP(Table_Mappings[[#This Row],[Data ID]],Table_Data[],3,FALSE),"")</f>
        <v>Special Handling Instructions</v>
      </c>
    </row>
    <row r="96" spans="1:5" ht="13" hidden="1" thickTop="1" x14ac:dyDescent="0.25">
      <c r="A96" s="12" t="s">
        <v>478</v>
      </c>
      <c r="B96" s="11" t="s">
        <v>170</v>
      </c>
      <c r="C96" s="15" t="str">
        <f>IFERROR(VLOOKUP(Table_Mappings[[#This Row],[Process ID]],Table_Processes[],4,FALSE),"")</f>
        <v>03.08 Outgoing goods or kits</v>
      </c>
      <c r="D96" s="12" t="s">
        <v>457</v>
      </c>
      <c r="E96" s="16" t="str">
        <f>IFERROR(VLOOKUP(Table_Mappings[[#This Row],[Data ID]],Table_Data[],3,FALSE),"")</f>
        <v>Packing List</v>
      </c>
    </row>
    <row r="97" spans="1:5" ht="13" hidden="1" thickTop="1" x14ac:dyDescent="0.25">
      <c r="A97" s="12" t="s">
        <v>479</v>
      </c>
      <c r="B97" s="11" t="s">
        <v>170</v>
      </c>
      <c r="C97" s="15" t="str">
        <f>IFERROR(VLOOKUP(Table_Mappings[[#This Row],[Process ID]],Table_Processes[],4,FALSE),"")</f>
        <v>03.08 Outgoing goods or kits</v>
      </c>
      <c r="D97" s="12" t="s">
        <v>480</v>
      </c>
      <c r="E97" s="16" t="str">
        <f>IFERROR(VLOOKUP(Table_Mappings[[#This Row],[Data ID]],Table_Data[],3,FALSE),"")</f>
        <v>Bill of Lading</v>
      </c>
    </row>
    <row r="98" spans="1:5" ht="13" hidden="1" thickTop="1" x14ac:dyDescent="0.25">
      <c r="A98" s="12" t="s">
        <v>481</v>
      </c>
      <c r="B98" s="11" t="s">
        <v>170</v>
      </c>
      <c r="C98" s="15" t="str">
        <f>IFERROR(VLOOKUP(Table_Mappings[[#This Row],[Process ID]],Table_Processes[],4,FALSE),"")</f>
        <v>03.08 Outgoing goods or kits</v>
      </c>
      <c r="D98" s="12" t="s">
        <v>482</v>
      </c>
      <c r="E98" s="16" t="str">
        <f>IFERROR(VLOOKUP(Table_Mappings[[#This Row],[Data ID]],Table_Data[],3,FALSE),"")</f>
        <v>Shipper's Letter of Instruction</v>
      </c>
    </row>
    <row r="99" spans="1:5" ht="13" hidden="1" thickTop="1" x14ac:dyDescent="0.25">
      <c r="A99" s="12" t="s">
        <v>483</v>
      </c>
      <c r="B99" s="11" t="s">
        <v>170</v>
      </c>
      <c r="C99" s="15" t="str">
        <f>IFERROR(VLOOKUP(Table_Mappings[[#This Row],[Process ID]],Table_Processes[],4,FALSE),"")</f>
        <v>03.08 Outgoing goods or kits</v>
      </c>
      <c r="D99" s="12" t="s">
        <v>484</v>
      </c>
      <c r="E99" s="16" t="str">
        <f>IFERROR(VLOOKUP(Table_Mappings[[#This Row],[Data ID]],Table_Data[],3,FALSE),"")</f>
        <v>Commercial Invoice</v>
      </c>
    </row>
    <row r="100" spans="1:5" ht="13" hidden="1" thickTop="1" x14ac:dyDescent="0.25">
      <c r="A100" s="12" t="s">
        <v>485</v>
      </c>
      <c r="B100" s="11" t="s">
        <v>170</v>
      </c>
      <c r="C100" s="15" t="str">
        <f>IFERROR(VLOOKUP(Table_Mappings[[#This Row],[Process ID]],Table_Processes[],4,FALSE),"")</f>
        <v>03.08 Outgoing goods or kits</v>
      </c>
      <c r="D100" s="12" t="s">
        <v>486</v>
      </c>
      <c r="E100" s="16" t="str">
        <f>IFERROR(VLOOKUP(Table_Mappings[[#This Row],[Data ID]],Table_Data[],3,FALSE),"")</f>
        <v>Air Waybill</v>
      </c>
    </row>
    <row r="101" spans="1:5" ht="13" hidden="1" thickTop="1" x14ac:dyDescent="0.25">
      <c r="A101" s="12" t="s">
        <v>487</v>
      </c>
      <c r="B101" s="11" t="s">
        <v>170</v>
      </c>
      <c r="C101" s="15" t="str">
        <f>IFERROR(VLOOKUP(Table_Mappings[[#This Row],[Process ID]],Table_Processes[],4,FALSE),"")</f>
        <v>03.08 Outgoing goods or kits</v>
      </c>
      <c r="D101" s="12" t="s">
        <v>488</v>
      </c>
      <c r="E101" s="16" t="str">
        <f>IFERROR(VLOOKUP(Table_Mappings[[#This Row],[Data ID]],Table_Data[],3,FALSE),"")</f>
        <v>Ocean Bill of Lading</v>
      </c>
    </row>
    <row r="102" spans="1:5" ht="13" hidden="1" thickTop="1" x14ac:dyDescent="0.25">
      <c r="A102" s="12" t="s">
        <v>489</v>
      </c>
      <c r="B102" s="11" t="s">
        <v>170</v>
      </c>
      <c r="C102" s="15" t="str">
        <f>IFERROR(VLOOKUP(Table_Mappings[[#This Row],[Process ID]],Table_Processes[],4,FALSE),"")</f>
        <v>03.08 Outgoing goods or kits</v>
      </c>
      <c r="D102" s="12" t="s">
        <v>490</v>
      </c>
      <c r="E102" s="16" t="str">
        <f>IFERROR(VLOOKUP(Table_Mappings[[#This Row],[Data ID]],Table_Data[],3,FALSE),"")</f>
        <v>Certificate of Origin</v>
      </c>
    </row>
    <row r="103" spans="1:5" ht="13" hidden="1" thickTop="1" x14ac:dyDescent="0.25">
      <c r="A103" s="12" t="s">
        <v>491</v>
      </c>
      <c r="B103" s="11" t="s">
        <v>170</v>
      </c>
      <c r="C103" s="15" t="str">
        <f>IFERROR(VLOOKUP(Table_Mappings[[#This Row],[Process ID]],Table_Processes[],4,FALSE),"")</f>
        <v>03.08 Outgoing goods or kits</v>
      </c>
      <c r="D103" s="12" t="s">
        <v>492</v>
      </c>
      <c r="E103" s="16" t="str">
        <f>IFERROR(VLOOKUP(Table_Mappings[[#This Row],[Data ID]],Table_Data[],3,FALSE),"")</f>
        <v>Pro Forma Invoice</v>
      </c>
    </row>
    <row r="104" spans="1:5" ht="13" hidden="1" thickTop="1" x14ac:dyDescent="0.25">
      <c r="A104" s="12" t="s">
        <v>493</v>
      </c>
      <c r="B104" s="11" t="s">
        <v>170</v>
      </c>
      <c r="C104" s="15" t="str">
        <f>IFERROR(VLOOKUP(Table_Mappings[[#This Row],[Process ID]],Table_Processes[],4,FALSE),"")</f>
        <v>03.08 Outgoing goods or kits</v>
      </c>
      <c r="D104" s="12" t="s">
        <v>494</v>
      </c>
      <c r="E104" s="16" t="str">
        <f>IFERROR(VLOOKUP(Table_Mappings[[#This Row],[Data ID]],Table_Data[],3,FALSE),"")</f>
        <v>Gift Certificate</v>
      </c>
    </row>
    <row r="105" spans="1:5" ht="13" hidden="1" thickTop="1" x14ac:dyDescent="0.25">
      <c r="A105" s="12" t="s">
        <v>495</v>
      </c>
      <c r="B105" s="11" t="s">
        <v>170</v>
      </c>
      <c r="C105" s="15" t="str">
        <f>IFERROR(VLOOKUP(Table_Mappings[[#This Row],[Process ID]],Table_Processes[],4,FALSE),"")</f>
        <v>03.08 Outgoing goods or kits</v>
      </c>
      <c r="D105" s="12" t="s">
        <v>496</v>
      </c>
      <c r="E105" s="16" t="str">
        <f>IFERROR(VLOOKUP(Table_Mappings[[#This Row],[Data ID]],Table_Data[],3,FALSE),"")</f>
        <v>Stock Summary Report</v>
      </c>
    </row>
    <row r="106" spans="1:5" ht="13" hidden="1" thickTop="1" x14ac:dyDescent="0.25">
      <c r="A106" s="12" t="s">
        <v>497</v>
      </c>
      <c r="B106" s="11" t="s">
        <v>170</v>
      </c>
      <c r="C106" s="15" t="str">
        <f>IFERROR(VLOOKUP(Table_Mappings[[#This Row],[Process ID]],Table_Processes[],4,FALSE),"")</f>
        <v>03.08 Outgoing goods or kits</v>
      </c>
      <c r="D106" s="12" t="s">
        <v>472</v>
      </c>
      <c r="E106" s="16" t="str">
        <f>IFERROR(VLOOKUP(Table_Mappings[[#This Row],[Data ID]],Table_Data[],3,FALSE),"")</f>
        <v>Inventory Transactions</v>
      </c>
    </row>
    <row r="107" spans="1:5" ht="13" hidden="1" thickTop="1" x14ac:dyDescent="0.25">
      <c r="A107" s="12" t="s">
        <v>498</v>
      </c>
      <c r="B107" s="11" t="s">
        <v>173</v>
      </c>
      <c r="C107" s="15" t="str">
        <f>IFERROR(VLOOKUP(Table_Mappings[[#This Row],[Process ID]],Table_Processes[],4,FALSE),"")</f>
        <v>03.09 Stock count</v>
      </c>
      <c r="D107" s="12" t="s">
        <v>499</v>
      </c>
      <c r="E107" s="16" t="str">
        <f>IFERROR(VLOOKUP(Table_Mappings[[#This Row],[Data ID]],Table_Data[],3,FALSE),"")</f>
        <v>Inventory Count Sheet</v>
      </c>
    </row>
    <row r="108" spans="1:5" ht="13" hidden="1" thickTop="1" x14ac:dyDescent="0.25">
      <c r="A108" s="12" t="s">
        <v>500</v>
      </c>
      <c r="B108" s="11" t="s">
        <v>173</v>
      </c>
      <c r="C108" s="15" t="str">
        <f>IFERROR(VLOOKUP(Table_Mappings[[#This Row],[Process ID]],Table_Processes[],4,FALSE),"")</f>
        <v>03.09 Stock count</v>
      </c>
      <c r="D108" s="12" t="s">
        <v>472</v>
      </c>
      <c r="E108" s="16" t="str">
        <f>IFERROR(VLOOKUP(Table_Mappings[[#This Row],[Data ID]],Table_Data[],3,FALSE),"")</f>
        <v>Inventory Transactions</v>
      </c>
    </row>
    <row r="109" spans="1:5" ht="13" hidden="1" thickTop="1" x14ac:dyDescent="0.25">
      <c r="A109" s="12" t="s">
        <v>501</v>
      </c>
      <c r="B109" s="11" t="s">
        <v>173</v>
      </c>
      <c r="C109" s="15" t="str">
        <f>IFERROR(VLOOKUP(Table_Mappings[[#This Row],[Process ID]],Table_Processes[],4,FALSE),"")</f>
        <v>03.09 Stock count</v>
      </c>
      <c r="D109" s="12" t="s">
        <v>496</v>
      </c>
      <c r="E109" s="16" t="str">
        <f>IFERROR(VLOOKUP(Table_Mappings[[#This Row],[Data ID]],Table_Data[],3,FALSE),"")</f>
        <v>Stock Summary Report</v>
      </c>
    </row>
    <row r="110" spans="1:5" ht="13" hidden="1" thickTop="1" x14ac:dyDescent="0.25">
      <c r="A110" s="12" t="s">
        <v>502</v>
      </c>
      <c r="B110" s="11" t="s">
        <v>176</v>
      </c>
      <c r="C110" s="15" t="str">
        <f>IFERROR(VLOOKUP(Table_Mappings[[#This Row],[Process ID]],Table_Processes[],4,FALSE),"")</f>
        <v xml:space="preserve">03.10 Kits monitoring </v>
      </c>
      <c r="D110" s="12" t="s">
        <v>496</v>
      </c>
      <c r="E110" s="16" t="str">
        <f>IFERROR(VLOOKUP(Table_Mappings[[#This Row],[Data ID]],Table_Data[],3,FALSE),"")</f>
        <v>Stock Summary Report</v>
      </c>
    </row>
    <row r="111" spans="1:5" ht="13" hidden="1" thickTop="1" x14ac:dyDescent="0.25">
      <c r="A111" s="12" t="s">
        <v>503</v>
      </c>
      <c r="B111" s="11" t="s">
        <v>176</v>
      </c>
      <c r="C111" s="15" t="str">
        <f>IFERROR(VLOOKUP(Table_Mappings[[#This Row],[Process ID]],Table_Processes[],4,FALSE),"")</f>
        <v xml:space="preserve">03.10 Kits monitoring </v>
      </c>
      <c r="D111" s="12" t="s">
        <v>354</v>
      </c>
      <c r="E111" s="16" t="str">
        <f>IFERROR(VLOOKUP(Table_Mappings[[#This Row],[Data ID]],Table_Data[],3,FALSE),"")</f>
        <v>Program Requirements</v>
      </c>
    </row>
    <row r="112" spans="1:5" ht="13" hidden="1" thickTop="1" x14ac:dyDescent="0.25">
      <c r="A112" s="12" t="s">
        <v>504</v>
      </c>
      <c r="B112" s="11" t="s">
        <v>179</v>
      </c>
      <c r="C112" s="15" t="str">
        <f>IFERROR(VLOOKUP(Table_Mappings[[#This Row],[Process ID]],Table_Processes[],4,FALSE),"")</f>
        <v>03.11 Stock disposal</v>
      </c>
      <c r="D112" s="12" t="s">
        <v>496</v>
      </c>
      <c r="E112" s="16" t="str">
        <f>IFERROR(VLOOKUP(Table_Mappings[[#This Row],[Data ID]],Table_Data[],3,FALSE),"")</f>
        <v>Stock Summary Report</v>
      </c>
    </row>
    <row r="113" spans="1:5" ht="13" hidden="1" thickTop="1" x14ac:dyDescent="0.25">
      <c r="A113" s="12" t="s">
        <v>505</v>
      </c>
      <c r="B113" s="11" t="s">
        <v>179</v>
      </c>
      <c r="C113" s="15" t="str">
        <f>IFERROR(VLOOKUP(Table_Mappings[[#This Row],[Process ID]],Table_Processes[],4,FALSE),"")</f>
        <v>03.11 Stock disposal</v>
      </c>
      <c r="D113" s="12" t="s">
        <v>472</v>
      </c>
      <c r="E113" s="16" t="str">
        <f>IFERROR(VLOOKUP(Table_Mappings[[#This Row],[Data ID]],Table_Data[],3,FALSE),"")</f>
        <v>Inventory Transactions</v>
      </c>
    </row>
    <row r="114" spans="1:5" ht="13" hidden="1" thickTop="1" x14ac:dyDescent="0.25">
      <c r="A114" s="12" t="s">
        <v>506</v>
      </c>
      <c r="B114" s="11" t="s">
        <v>184</v>
      </c>
      <c r="C114" s="15" t="str">
        <f>IFERROR(VLOOKUP(Table_Mappings[[#This Row],[Process ID]],Table_Processes[],4,FALSE),"")</f>
        <v>04.01 Transport planning</v>
      </c>
      <c r="D114" s="12" t="s">
        <v>359</v>
      </c>
      <c r="E114" s="16" t="str">
        <f>IFERROR(VLOOKUP(Table_Mappings[[#This Row],[Data ID]],Table_Data[],3,FALSE),"")</f>
        <v>Delivery Plan</v>
      </c>
    </row>
    <row r="115" spans="1:5" ht="13" hidden="1" thickTop="1" x14ac:dyDescent="0.25">
      <c r="A115" s="12" t="s">
        <v>507</v>
      </c>
      <c r="B115" s="11" t="s">
        <v>184</v>
      </c>
      <c r="C115" s="15" t="str">
        <f>IFERROR(VLOOKUP(Table_Mappings[[#This Row],[Process ID]],Table_Processes[],4,FALSE),"")</f>
        <v>04.01 Transport planning</v>
      </c>
      <c r="D115" s="12" t="s">
        <v>508</v>
      </c>
      <c r="E115" s="16" t="str">
        <f>IFERROR(VLOOKUP(Table_Mappings[[#This Row],[Data ID]],Table_Data[],3,FALSE),"")</f>
        <v>Transportation Tender</v>
      </c>
    </row>
    <row r="116" spans="1:5" ht="13" hidden="1" thickTop="1" x14ac:dyDescent="0.25">
      <c r="A116" s="12" t="s">
        <v>509</v>
      </c>
      <c r="B116" s="11" t="s">
        <v>186</v>
      </c>
      <c r="C116" s="15" t="str">
        <f>IFERROR(VLOOKUP(Table_Mappings[[#This Row],[Process ID]],Table_Processes[],4,FALSE),"")</f>
        <v>04.02 Inbound transport of goods</v>
      </c>
      <c r="D116" s="12" t="s">
        <v>405</v>
      </c>
      <c r="E116" s="16" t="str">
        <f>IFERROR(VLOOKUP(Table_Mappings[[#This Row],[Data ID]],Table_Data[],3,FALSE),"")</f>
        <v>Goods Received Note</v>
      </c>
    </row>
    <row r="117" spans="1:5" ht="13" hidden="1" thickTop="1" x14ac:dyDescent="0.25">
      <c r="A117" s="12" t="s">
        <v>510</v>
      </c>
      <c r="B117" s="11" t="s">
        <v>188</v>
      </c>
      <c r="C117" s="15" t="str">
        <f>IFERROR(VLOOKUP(Table_Mappings[[#This Row],[Process ID]],Table_Processes[],4,FALSE),"")</f>
        <v>04.03 Outbound transport of goods</v>
      </c>
      <c r="D117" s="12" t="s">
        <v>359</v>
      </c>
      <c r="E117" s="16" t="str">
        <f>IFERROR(VLOOKUP(Table_Mappings[[#This Row],[Data ID]],Table_Data[],3,FALSE),"")</f>
        <v>Delivery Plan</v>
      </c>
    </row>
    <row r="118" spans="1:5" ht="13" hidden="1" thickTop="1" x14ac:dyDescent="0.25">
      <c r="A118" s="12" t="s">
        <v>511</v>
      </c>
      <c r="B118" s="11" t="s">
        <v>188</v>
      </c>
      <c r="C118" s="15" t="str">
        <f>IFERROR(VLOOKUP(Table_Mappings[[#This Row],[Process ID]],Table_Processes[],4,FALSE),"")</f>
        <v>04.03 Outbound transport of goods</v>
      </c>
      <c r="D118" s="12" t="s">
        <v>508</v>
      </c>
      <c r="E118" s="16" t="str">
        <f>IFERROR(VLOOKUP(Table_Mappings[[#This Row],[Data ID]],Table_Data[],3,FALSE),"")</f>
        <v>Transportation Tender</v>
      </c>
    </row>
    <row r="119" spans="1:5" ht="13" hidden="1" thickTop="1" x14ac:dyDescent="0.25">
      <c r="A119" s="12" t="s">
        <v>512</v>
      </c>
      <c r="B119" s="11" t="s">
        <v>188</v>
      </c>
      <c r="C119" s="15" t="str">
        <f>IFERROR(VLOOKUP(Table_Mappings[[#This Row],[Process ID]],Table_Processes[],4,FALSE),"")</f>
        <v>04.03 Outbound transport of goods</v>
      </c>
      <c r="D119" s="12" t="s">
        <v>513</v>
      </c>
      <c r="E119" s="16" t="str">
        <f>IFERROR(VLOOKUP(Table_Mappings[[#This Row],[Data ID]],Table_Data[],3,FALSE),"")</f>
        <v>Freight Bills</v>
      </c>
    </row>
    <row r="120" spans="1:5" ht="25.5" hidden="1" thickTop="1" x14ac:dyDescent="0.25">
      <c r="A120" s="12" t="s">
        <v>514</v>
      </c>
      <c r="B120" s="11" t="s">
        <v>190</v>
      </c>
      <c r="C120" s="15" t="str">
        <f>IFERROR(VLOOKUP(Table_Mappings[[#This Row],[Process ID]],Table_Processes[],4,FALSE),"")</f>
        <v>04.04 Transport of People (Last-mile in-country transport)</v>
      </c>
      <c r="D120" s="12" t="s">
        <v>515</v>
      </c>
      <c r="E120" s="16" t="str">
        <f>IFERROR(VLOOKUP(Table_Mappings[[#This Row],[Data ID]],Table_Data[],3,FALSE),"")</f>
        <v>Fleet Inventory</v>
      </c>
    </row>
    <row r="121" spans="1:5" ht="25.5" hidden="1" thickTop="1" x14ac:dyDescent="0.25">
      <c r="A121" s="12" t="s">
        <v>516</v>
      </c>
      <c r="B121" s="11" t="s">
        <v>190</v>
      </c>
      <c r="C121" s="15" t="str">
        <f>IFERROR(VLOOKUP(Table_Mappings[[#This Row],[Process ID]],Table_Processes[],4,FALSE),"")</f>
        <v>04.04 Transport of People (Last-mile in-country transport)</v>
      </c>
      <c r="D121" s="12" t="s">
        <v>517</v>
      </c>
      <c r="E121" s="16" t="str">
        <f>IFERROR(VLOOKUP(Table_Mappings[[#This Row],[Data ID]],Table_Data[],3,FALSE),"")</f>
        <v>Maintenance Work Order</v>
      </c>
    </row>
    <row r="122" spans="1:5" ht="25.5" hidden="1" thickTop="1" x14ac:dyDescent="0.25">
      <c r="A122" s="12" t="s">
        <v>518</v>
      </c>
      <c r="B122" s="11" t="s">
        <v>190</v>
      </c>
      <c r="C122" s="15" t="str">
        <f>IFERROR(VLOOKUP(Table_Mappings[[#This Row],[Process ID]],Table_Processes[],4,FALSE),"")</f>
        <v>04.04 Transport of People (Last-mile in-country transport)</v>
      </c>
      <c r="D122" s="12" t="s">
        <v>519</v>
      </c>
      <c r="E122" s="16" t="str">
        <f>IFERROR(VLOOKUP(Table_Mappings[[#This Row],[Data ID]],Table_Data[],3,FALSE),"")</f>
        <v>Transport Request</v>
      </c>
    </row>
    <row r="123" spans="1:5" ht="13" hidden="1" thickTop="1" x14ac:dyDescent="0.25">
      <c r="A123" s="12" t="s">
        <v>520</v>
      </c>
      <c r="B123" s="11" t="s">
        <v>195</v>
      </c>
      <c r="C123" s="15" t="str">
        <f>IFERROR(VLOOKUP(Table_Mappings[[#This Row],[Process ID]],Table_Processes[],4,FALSE),"")</f>
        <v>05.01 Plan delivery distribution</v>
      </c>
      <c r="D123" s="12" t="s">
        <v>521</v>
      </c>
      <c r="E123" s="16" t="str">
        <f>IFERROR(VLOOKUP(Table_Mappings[[#This Row],[Data ID]],Table_Data[],3,FALSE),"")</f>
        <v>Delivery Requirements</v>
      </c>
    </row>
    <row r="124" spans="1:5" ht="13" hidden="1" thickTop="1" x14ac:dyDescent="0.25">
      <c r="A124" s="12" t="s">
        <v>522</v>
      </c>
      <c r="B124" s="11" t="s">
        <v>195</v>
      </c>
      <c r="C124" s="15" t="str">
        <f>IFERROR(VLOOKUP(Table_Mappings[[#This Row],[Process ID]],Table_Processes[],4,FALSE),"")</f>
        <v>05.01 Plan delivery distribution</v>
      </c>
      <c r="D124" s="12" t="s">
        <v>470</v>
      </c>
      <c r="E124" s="16" t="str">
        <f>IFERROR(VLOOKUP(Table_Mappings[[#This Row],[Data ID]],Table_Data[],3,FALSE),"")</f>
        <v>Delivery Plan</v>
      </c>
    </row>
    <row r="125" spans="1:5" ht="13" hidden="1" thickTop="1" x14ac:dyDescent="0.25">
      <c r="A125" s="12" t="s">
        <v>523</v>
      </c>
      <c r="B125" s="11" t="s">
        <v>198</v>
      </c>
      <c r="C125" s="15" t="str">
        <f>IFERROR(VLOOKUP(Table_Mappings[[#This Row],[Process ID]],Table_Processes[],4,FALSE),"")</f>
        <v xml:space="preserve">05.02 Outsourced distribution </v>
      </c>
      <c r="D125" s="12" t="s">
        <v>521</v>
      </c>
      <c r="E125" s="16" t="str">
        <f>IFERROR(VLOOKUP(Table_Mappings[[#This Row],[Data ID]],Table_Data[],3,FALSE),"")</f>
        <v>Delivery Requirements</v>
      </c>
    </row>
    <row r="126" spans="1:5" ht="13" hidden="1" thickTop="1" x14ac:dyDescent="0.25">
      <c r="A126" s="12" t="s">
        <v>524</v>
      </c>
      <c r="B126" s="11" t="s">
        <v>198</v>
      </c>
      <c r="C126" s="15" t="str">
        <f>IFERROR(VLOOKUP(Table_Mappings[[#This Row],[Process ID]],Table_Processes[],4,FALSE),"")</f>
        <v xml:space="preserve">05.02 Outsourced distribution </v>
      </c>
      <c r="D126" s="12" t="s">
        <v>470</v>
      </c>
      <c r="E126" s="16" t="str">
        <f>IFERROR(VLOOKUP(Table_Mappings[[#This Row],[Data ID]],Table_Data[],3,FALSE),"")</f>
        <v>Delivery Plan</v>
      </c>
    </row>
    <row r="127" spans="1:5" ht="13" hidden="1" thickTop="1" x14ac:dyDescent="0.25">
      <c r="A127" s="12" t="s">
        <v>525</v>
      </c>
      <c r="B127" s="11" t="s">
        <v>201</v>
      </c>
      <c r="C127" s="15" t="str">
        <f>IFERROR(VLOOKUP(Table_Mappings[[#This Row],[Process ID]],Table_Processes[],4,FALSE),"")</f>
        <v>05.03 External distribution</v>
      </c>
      <c r="D127" s="12" t="s">
        <v>521</v>
      </c>
      <c r="E127" s="16" t="str">
        <f>IFERROR(VLOOKUP(Table_Mappings[[#This Row],[Data ID]],Table_Data[],3,FALSE),"")</f>
        <v>Delivery Requirements</v>
      </c>
    </row>
    <row r="128" spans="1:5" ht="13" hidden="1" thickTop="1" x14ac:dyDescent="0.25">
      <c r="A128" s="12" t="s">
        <v>526</v>
      </c>
      <c r="B128" s="11" t="s">
        <v>201</v>
      </c>
      <c r="C128" s="15" t="str">
        <f>IFERROR(VLOOKUP(Table_Mappings[[#This Row],[Process ID]],Table_Processes[],4,FALSE),"")</f>
        <v>05.03 External distribution</v>
      </c>
      <c r="D128" s="12" t="s">
        <v>470</v>
      </c>
      <c r="E128" s="16" t="str">
        <f>IFERROR(VLOOKUP(Table_Mappings[[#This Row],[Data ID]],Table_Data[],3,FALSE),"")</f>
        <v>Delivery Plan</v>
      </c>
    </row>
    <row r="129" spans="1:5" ht="13" hidden="1" thickTop="1" x14ac:dyDescent="0.25">
      <c r="A129" s="12" t="s">
        <v>527</v>
      </c>
      <c r="B129" s="11" t="s">
        <v>204</v>
      </c>
      <c r="C129" s="15" t="str">
        <f>IFERROR(VLOOKUP(Table_Mappings[[#This Row],[Process ID]],Table_Processes[],4,FALSE),"")</f>
        <v xml:space="preserve">05.04 Internal distribution </v>
      </c>
      <c r="D129" s="12" t="s">
        <v>528</v>
      </c>
      <c r="E129" s="16" t="str">
        <f>IFERROR(VLOOKUP(Table_Mappings[[#This Row],[Data ID]],Table_Data[],3,FALSE),"")</f>
        <v>Stock Transfer Request</v>
      </c>
    </row>
    <row r="130" spans="1:5" ht="13" hidden="1" thickTop="1" x14ac:dyDescent="0.25">
      <c r="A130" s="12" t="s">
        <v>529</v>
      </c>
      <c r="B130" s="11" t="s">
        <v>207</v>
      </c>
      <c r="C130" s="15" t="str">
        <f>IFERROR(VLOOKUP(Table_Mappings[[#This Row],[Process ID]],Table_Processes[],4,FALSE),"")</f>
        <v>05.05 Donations (outbound)</v>
      </c>
      <c r="D130" s="12" t="s">
        <v>530</v>
      </c>
      <c r="E130" s="16" t="str">
        <f>IFERROR(VLOOKUP(Table_Mappings[[#This Row],[Data ID]],Table_Data[],3,FALSE),"")</f>
        <v>Donation Tracking Report</v>
      </c>
    </row>
    <row r="131" spans="1:5" ht="13" hidden="1" thickTop="1" x14ac:dyDescent="0.25">
      <c r="A131" s="12" t="s">
        <v>531</v>
      </c>
      <c r="B131" s="11" t="s">
        <v>210</v>
      </c>
      <c r="C131" s="15" t="str">
        <f>IFERROR(VLOOKUP(Table_Mappings[[#This Row],[Process ID]],Table_Processes[],4,FALSE),"")</f>
        <v>05.06 Loans (outbound)</v>
      </c>
      <c r="D131" s="12" t="s">
        <v>532</v>
      </c>
      <c r="E131" s="16" t="str">
        <f>IFERROR(VLOOKUP(Table_Mappings[[#This Row],[Data ID]],Table_Data[],3,FALSE),"")</f>
        <v>Loan Tracking Report</v>
      </c>
    </row>
    <row r="132" spans="1:5" ht="13" hidden="1" thickTop="1" x14ac:dyDescent="0.25">
      <c r="A132" s="12" t="s">
        <v>533</v>
      </c>
      <c r="B132" s="11" t="s">
        <v>219</v>
      </c>
      <c r="C132" s="15" t="str">
        <f>IFERROR(VLOOKUP(Table_Mappings[[#This Row],[Process ID]],Table_Processes[],4,FALSE),"")</f>
        <v>06.01 Return to supplier</v>
      </c>
      <c r="D132" s="12" t="s">
        <v>474</v>
      </c>
      <c r="E132" s="16" t="str">
        <f>IFERROR(VLOOKUP(Table_Mappings[[#This Row],[Data ID]],Table_Data[],3,FALSE),"")</f>
        <v>Shipment</v>
      </c>
    </row>
    <row r="133" spans="1:5" ht="13" hidden="1" thickTop="1" x14ac:dyDescent="0.25">
      <c r="A133" s="12" t="s">
        <v>534</v>
      </c>
      <c r="B133" s="11" t="s">
        <v>222</v>
      </c>
      <c r="C133" s="15" t="str">
        <f>IFERROR(VLOOKUP(Table_Mappings[[#This Row],[Process ID]],Table_Processes[],4,FALSE),"")</f>
        <v>06.02 Return received loan to owner</v>
      </c>
      <c r="D133" s="12" t="s">
        <v>474</v>
      </c>
      <c r="E133" s="16" t="str">
        <f>IFERROR(VLOOKUP(Table_Mappings[[#This Row],[Data ID]],Table_Data[],3,FALSE),"")</f>
        <v>Shipment</v>
      </c>
    </row>
    <row r="134" spans="1:5" ht="13" hidden="1" thickTop="1" x14ac:dyDescent="0.25">
      <c r="A134" s="12" t="s">
        <v>535</v>
      </c>
      <c r="B134" s="11" t="s">
        <v>225</v>
      </c>
      <c r="C134" s="15" t="str">
        <f>IFERROR(VLOOKUP(Table_Mappings[[#This Row],[Process ID]],Table_Processes[],4,FALSE),"")</f>
        <v>06.03 Delivery return from distribution</v>
      </c>
      <c r="D134" s="12" t="s">
        <v>536</v>
      </c>
      <c r="E134" s="16" t="str">
        <f>IFERROR(VLOOKUP(Table_Mappings[[#This Row],[Data ID]],Table_Data[],3,FALSE),"")</f>
        <v>Goods Received Note</v>
      </c>
    </row>
    <row r="135" spans="1:5" ht="13" hidden="1" thickTop="1" x14ac:dyDescent="0.25">
      <c r="A135" s="12" t="s">
        <v>537</v>
      </c>
      <c r="B135" s="11" t="s">
        <v>228</v>
      </c>
      <c r="C135" s="15" t="str">
        <f>IFERROR(VLOOKUP(Table_Mappings[[#This Row],[Process ID]],Table_Processes[],4,FALSE),"")</f>
        <v>06.04 Loan return reception</v>
      </c>
      <c r="D135" s="12" t="s">
        <v>536</v>
      </c>
      <c r="E135" s="16" t="str">
        <f>IFERROR(VLOOKUP(Table_Mappings[[#This Row],[Data ID]],Table_Data[],3,FALSE),"")</f>
        <v>Goods Received Note</v>
      </c>
    </row>
    <row r="136" spans="1:5" ht="13" hidden="1" thickTop="1" x14ac:dyDescent="0.25">
      <c r="A136" s="12" t="s">
        <v>538</v>
      </c>
      <c r="B136" s="11" t="s">
        <v>231</v>
      </c>
      <c r="C136" s="15" t="str">
        <f>IFERROR(VLOOKUP(Table_Mappings[[#This Row],[Process ID]],Table_Processes[],4,FALSE),"")</f>
        <v>06.05 Closure</v>
      </c>
      <c r="D136" s="12" t="s">
        <v>536</v>
      </c>
      <c r="E136" s="16" t="str">
        <f>IFERROR(VLOOKUP(Table_Mappings[[#This Row],[Data ID]],Table_Data[],3,FALSE),"")</f>
        <v>Goods Received Note</v>
      </c>
    </row>
    <row r="137" spans="1:5" ht="13" hidden="1" thickTop="1" x14ac:dyDescent="0.25">
      <c r="A137" s="12" t="s">
        <v>539</v>
      </c>
      <c r="B137" s="11" t="s">
        <v>237</v>
      </c>
      <c r="C137" s="15" t="str">
        <f>IFERROR(VLOOKUP(Table_Mappings[[#This Row],[Process ID]],Table_Processes[],4,FALSE),"")</f>
        <v xml:space="preserve">07.01 Asset Management planning </v>
      </c>
      <c r="D137" s="12" t="s">
        <v>540</v>
      </c>
      <c r="E137" s="16" t="str">
        <f>IFERROR(VLOOKUP(Table_Mappings[[#This Row],[Data ID]],Table_Data[],3,FALSE),"")</f>
        <v>Asset Requirements</v>
      </c>
    </row>
    <row r="138" spans="1:5" ht="13" hidden="1" thickTop="1" x14ac:dyDescent="0.25">
      <c r="A138" s="12" t="s">
        <v>541</v>
      </c>
      <c r="B138" s="11" t="s">
        <v>237</v>
      </c>
      <c r="C138" s="15" t="str">
        <f>IFERROR(VLOOKUP(Table_Mappings[[#This Row],[Process ID]],Table_Processes[],4,FALSE),"")</f>
        <v xml:space="preserve">07.01 Asset Management planning </v>
      </c>
      <c r="D138" s="12" t="s">
        <v>542</v>
      </c>
      <c r="E138" s="16" t="str">
        <f>IFERROR(VLOOKUP(Table_Mappings[[#This Row],[Data ID]],Table_Data[],3,FALSE),"")</f>
        <v>Asset Plan</v>
      </c>
    </row>
    <row r="139" spans="1:5" ht="13" hidden="1" thickTop="1" x14ac:dyDescent="0.25">
      <c r="A139" s="12" t="s">
        <v>543</v>
      </c>
      <c r="B139" s="11" t="s">
        <v>240</v>
      </c>
      <c r="C139" s="15" t="str">
        <f>IFERROR(VLOOKUP(Table_Mappings[[#This Row],[Process ID]],Table_Processes[],4,FALSE),"")</f>
        <v>07.02 Asset reception and registration</v>
      </c>
      <c r="D139" s="12" t="s">
        <v>544</v>
      </c>
      <c r="E139" s="16" t="str">
        <f>IFERROR(VLOOKUP(Table_Mappings[[#This Row],[Data ID]],Table_Data[],3,FALSE),"")</f>
        <v>Asset Master</v>
      </c>
    </row>
    <row r="140" spans="1:5" ht="13" hidden="1" thickTop="1" x14ac:dyDescent="0.25">
      <c r="A140" s="12" t="s">
        <v>545</v>
      </c>
      <c r="B140" s="11" t="s">
        <v>240</v>
      </c>
      <c r="C140" s="15" t="str">
        <f>IFERROR(VLOOKUP(Table_Mappings[[#This Row],[Process ID]],Table_Processes[],4,FALSE),"")</f>
        <v>07.02 Asset reception and registration</v>
      </c>
      <c r="D140" s="12" t="s">
        <v>405</v>
      </c>
      <c r="E140" s="16" t="str">
        <f>IFERROR(VLOOKUP(Table_Mappings[[#This Row],[Data ID]],Table_Data[],3,FALSE),"")</f>
        <v>Goods Received Note</v>
      </c>
    </row>
    <row r="141" spans="1:5" ht="13" hidden="1" thickTop="1" x14ac:dyDescent="0.25">
      <c r="A141" s="12" t="s">
        <v>546</v>
      </c>
      <c r="B141" s="11" t="s">
        <v>243</v>
      </c>
      <c r="C141" s="15" t="str">
        <f>IFERROR(VLOOKUP(Table_Mappings[[#This Row],[Process ID]],Table_Processes[],4,FALSE),"")</f>
        <v xml:space="preserve">07.03 Asset assignement </v>
      </c>
      <c r="D141" s="12" t="s">
        <v>544</v>
      </c>
      <c r="E141" s="16" t="str">
        <f>IFERROR(VLOOKUP(Table_Mappings[[#This Row],[Data ID]],Table_Data[],3,FALSE),"")</f>
        <v>Asset Master</v>
      </c>
    </row>
    <row r="142" spans="1:5" ht="13" hidden="1" thickTop="1" x14ac:dyDescent="0.25">
      <c r="A142" s="12" t="s">
        <v>547</v>
      </c>
      <c r="B142" s="11" t="s">
        <v>243</v>
      </c>
      <c r="C142" s="15" t="str">
        <f>IFERROR(VLOOKUP(Table_Mappings[[#This Row],[Process ID]],Table_Processes[],4,FALSE),"")</f>
        <v xml:space="preserve">07.03 Asset assignement </v>
      </c>
      <c r="D142" s="12" t="s">
        <v>548</v>
      </c>
      <c r="E142" s="16" t="str">
        <f>IFERROR(VLOOKUP(Table_Mappings[[#This Row],[Data ID]],Table_Data[],3,FALSE),"")</f>
        <v>Asset Transaction</v>
      </c>
    </row>
    <row r="143" spans="1:5" ht="13" hidden="1" thickTop="1" x14ac:dyDescent="0.25">
      <c r="A143" s="12" t="s">
        <v>549</v>
      </c>
      <c r="B143" s="11" t="s">
        <v>246</v>
      </c>
      <c r="C143" s="15" t="str">
        <f>IFERROR(VLOOKUP(Table_Mappings[[#This Row],[Process ID]],Table_Processes[],4,FALSE),"")</f>
        <v>07.04 Asset follow-up and maintenance</v>
      </c>
      <c r="D143" s="12" t="s">
        <v>550</v>
      </c>
      <c r="E143" s="16" t="str">
        <f>IFERROR(VLOOKUP(Table_Mappings[[#This Row],[Data ID]],Table_Data[],3,FALSE),"")</f>
        <v>Asset Maintenance Requirements</v>
      </c>
    </row>
    <row r="144" spans="1:5" ht="13" hidden="1" thickTop="1" x14ac:dyDescent="0.25">
      <c r="A144" s="12" t="s">
        <v>551</v>
      </c>
      <c r="B144" s="11" t="s">
        <v>246</v>
      </c>
      <c r="C144" s="15" t="str">
        <f>IFERROR(VLOOKUP(Table_Mappings[[#This Row],[Process ID]],Table_Processes[],4,FALSE),"")</f>
        <v>07.04 Asset follow-up and maintenance</v>
      </c>
      <c r="D144" s="12" t="s">
        <v>552</v>
      </c>
      <c r="E144" s="16" t="str">
        <f>IFERROR(VLOOKUP(Table_Mappings[[#This Row],[Data ID]],Table_Data[],3,FALSE),"")</f>
        <v>Maintenance Work Order</v>
      </c>
    </row>
    <row r="145" spans="1:5" ht="13" hidden="1" thickTop="1" x14ac:dyDescent="0.25">
      <c r="A145" s="12" t="s">
        <v>553</v>
      </c>
      <c r="B145" s="11" t="s">
        <v>249</v>
      </c>
      <c r="C145" s="15" t="str">
        <f>IFERROR(VLOOKUP(Table_Mappings[[#This Row],[Process ID]],Table_Processes[],4,FALSE),"")</f>
        <v>07.05 Asset transfer</v>
      </c>
      <c r="D145" s="12" t="s">
        <v>548</v>
      </c>
      <c r="E145" s="16" t="str">
        <f>IFERROR(VLOOKUP(Table_Mappings[[#This Row],[Data ID]],Table_Data[],3,FALSE),"")</f>
        <v>Asset Transaction</v>
      </c>
    </row>
    <row r="146" spans="1:5" ht="13" hidden="1" thickTop="1" x14ac:dyDescent="0.25">
      <c r="A146" s="12" t="s">
        <v>554</v>
      </c>
      <c r="B146" s="11" t="s">
        <v>252</v>
      </c>
      <c r="C146" s="15" t="str">
        <f>IFERROR(VLOOKUP(Table_Mappings[[#This Row],[Process ID]],Table_Processes[],4,FALSE),"")</f>
        <v>07.06 Asset loan</v>
      </c>
      <c r="D146" s="12" t="s">
        <v>548</v>
      </c>
      <c r="E146" s="16" t="str">
        <f>IFERROR(VLOOKUP(Table_Mappings[[#This Row],[Data ID]],Table_Data[],3,FALSE),"")</f>
        <v>Asset Transaction</v>
      </c>
    </row>
    <row r="147" spans="1:5" ht="13" hidden="1" thickTop="1" x14ac:dyDescent="0.25">
      <c r="A147" s="12" t="s">
        <v>555</v>
      </c>
      <c r="B147" s="11" t="s">
        <v>255</v>
      </c>
      <c r="C147" s="15" t="str">
        <f>IFERROR(VLOOKUP(Table_Mappings[[#This Row],[Process ID]],Table_Processes[],4,FALSE),"")</f>
        <v>07.07 Asset loan return</v>
      </c>
      <c r="D147" s="12" t="s">
        <v>548</v>
      </c>
      <c r="E147" s="16" t="str">
        <f>IFERROR(VLOOKUP(Table_Mappings[[#This Row],[Data ID]],Table_Data[],3,FALSE),"")</f>
        <v>Asset Transaction</v>
      </c>
    </row>
    <row r="148" spans="1:5" ht="13" hidden="1" thickTop="1" x14ac:dyDescent="0.25">
      <c r="A148" s="12" t="s">
        <v>556</v>
      </c>
      <c r="B148" s="11" t="s">
        <v>258</v>
      </c>
      <c r="C148" s="15" t="str">
        <f>IFERROR(VLOOKUP(Table_Mappings[[#This Row],[Process ID]],Table_Processes[],4,FALSE),"")</f>
        <v>07.08 Asset donation</v>
      </c>
      <c r="D148" s="12" t="s">
        <v>548</v>
      </c>
      <c r="E148" s="16" t="str">
        <f>IFERROR(VLOOKUP(Table_Mappings[[#This Row],[Data ID]],Table_Data[],3,FALSE),"")</f>
        <v>Asset Transaction</v>
      </c>
    </row>
    <row r="149" spans="1:5" ht="13" hidden="1" thickTop="1" x14ac:dyDescent="0.25">
      <c r="A149" s="12" t="s">
        <v>557</v>
      </c>
      <c r="B149" s="11" t="s">
        <v>261</v>
      </c>
      <c r="C149" s="15" t="str">
        <f>IFERROR(VLOOKUP(Table_Mappings[[#This Row],[Process ID]],Table_Processes[],4,FALSE),"")</f>
        <v>07.09 Asset disposal or auction</v>
      </c>
      <c r="D149" s="12" t="s">
        <v>548</v>
      </c>
      <c r="E149" s="16" t="str">
        <f>IFERROR(VLOOKUP(Table_Mappings[[#This Row],[Data ID]],Table_Data[],3,FALSE),"")</f>
        <v>Asset Transaction</v>
      </c>
    </row>
    <row r="150" spans="1:5" ht="13" hidden="1" thickTop="1" x14ac:dyDescent="0.25">
      <c r="A150" s="12" t="s">
        <v>558</v>
      </c>
      <c r="B150" s="11" t="s">
        <v>264</v>
      </c>
      <c r="C150" s="15" t="str">
        <f>IFERROR(VLOOKUP(Table_Mappings[[#This Row],[Process ID]],Table_Processes[],4,FALSE),"")</f>
        <v>07.10 Return/Closure</v>
      </c>
      <c r="D150" s="12" t="s">
        <v>548</v>
      </c>
      <c r="E150" s="16" t="str">
        <f>IFERROR(VLOOKUP(Table_Mappings[[#This Row],[Data ID]],Table_Data[],3,FALSE),"")</f>
        <v>Asset Transaction</v>
      </c>
    </row>
    <row r="151" spans="1:5" ht="13" hidden="1" thickTop="1" x14ac:dyDescent="0.25">
      <c r="A151" s="12" t="s">
        <v>559</v>
      </c>
      <c r="B151" s="11" t="s">
        <v>303</v>
      </c>
      <c r="C151" s="15" t="str">
        <f>IFERROR(VLOOKUP(Table_Mappings[[#This Row],[Process ID]],Table_Processes[],4,FALSE),"")</f>
        <v xml:space="preserve">09.01 Reporting - Planning </v>
      </c>
      <c r="D151" s="12" t="s">
        <v>560</v>
      </c>
      <c r="E151" s="16" t="str">
        <f>IFERROR(VLOOKUP(Table_Mappings[[#This Row],[Data ID]],Table_Data[],3,FALSE),"")</f>
        <v>Delivery Plan Report</v>
      </c>
    </row>
    <row r="152" spans="1:5" ht="13" hidden="1" thickTop="1" x14ac:dyDescent="0.25">
      <c r="A152" s="12" t="s">
        <v>561</v>
      </c>
      <c r="B152" s="11" t="s">
        <v>306</v>
      </c>
      <c r="C152" s="15" t="str">
        <f>IFERROR(VLOOKUP(Table_Mappings[[#This Row],[Process ID]],Table_Processes[],4,FALSE),"")</f>
        <v xml:space="preserve">09.02 Reporting - Procurement </v>
      </c>
      <c r="D152" s="12" t="s">
        <v>562</v>
      </c>
      <c r="E152" s="16" t="str">
        <f>IFERROR(VLOOKUP(Table_Mappings[[#This Row],[Data ID]],Table_Data[],3,FALSE),"")</f>
        <v>Open Purchase Orders</v>
      </c>
    </row>
    <row r="153" spans="1:5" ht="13" hidden="1" thickTop="1" x14ac:dyDescent="0.25">
      <c r="A153" s="12" t="s">
        <v>563</v>
      </c>
      <c r="B153" s="11" t="s">
        <v>306</v>
      </c>
      <c r="C153" s="15" t="str">
        <f>IFERROR(VLOOKUP(Table_Mappings[[#This Row],[Process ID]],Table_Processes[],4,FALSE),"")</f>
        <v xml:space="preserve">09.02 Reporting - Procurement </v>
      </c>
      <c r="D153" s="12" t="s">
        <v>564</v>
      </c>
      <c r="E153" s="16" t="str">
        <f>IFERROR(VLOOKUP(Table_Mappings[[#This Row],[Data ID]],Table_Data[],3,FALSE),"")</f>
        <v>Open Purchase Order Lines</v>
      </c>
    </row>
    <row r="154" spans="1:5" ht="13" hidden="1" thickTop="1" x14ac:dyDescent="0.25">
      <c r="A154" s="12" t="s">
        <v>565</v>
      </c>
      <c r="B154" s="11" t="s">
        <v>306</v>
      </c>
      <c r="C154" s="15" t="str">
        <f>IFERROR(VLOOKUP(Table_Mappings[[#This Row],[Process ID]],Table_Processes[],4,FALSE),"")</f>
        <v xml:space="preserve">09.02 Reporting - Procurement </v>
      </c>
      <c r="D154" s="12" t="s">
        <v>566</v>
      </c>
      <c r="E154" s="16" t="str">
        <f>IFERROR(VLOOKUP(Table_Mappings[[#This Row],[Data ID]],Table_Data[],3,FALSE),"")</f>
        <v>Supplier Delivery Performance</v>
      </c>
    </row>
    <row r="155" spans="1:5" ht="13" hidden="1" thickTop="1" x14ac:dyDescent="0.25">
      <c r="A155" s="12" t="s">
        <v>567</v>
      </c>
      <c r="B155" s="11" t="s">
        <v>306</v>
      </c>
      <c r="C155" s="15" t="str">
        <f>IFERROR(VLOOKUP(Table_Mappings[[#This Row],[Process ID]],Table_Processes[],4,FALSE),"")</f>
        <v xml:space="preserve">09.02 Reporting - Procurement </v>
      </c>
      <c r="D155" s="12" t="s">
        <v>568</v>
      </c>
      <c r="E155" s="16" t="str">
        <f>IFERROR(VLOOKUP(Table_Mappings[[#This Row],[Data ID]],Table_Data[],3,FALSE),"")</f>
        <v>Supplier/Item Report</v>
      </c>
    </row>
    <row r="156" spans="1:5" ht="13" hidden="1" thickTop="1" x14ac:dyDescent="0.25">
      <c r="A156" s="12" t="s">
        <v>569</v>
      </c>
      <c r="B156" s="11" t="s">
        <v>306</v>
      </c>
      <c r="C156" s="15" t="str">
        <f>IFERROR(VLOOKUP(Table_Mappings[[#This Row],[Process ID]],Table_Processes[],4,FALSE),"")</f>
        <v xml:space="preserve">09.02 Reporting - Procurement </v>
      </c>
      <c r="D156" s="12" t="s">
        <v>570</v>
      </c>
      <c r="E156" s="16" t="str">
        <f>IFERROR(VLOOKUP(Table_Mappings[[#This Row],[Data ID]],Table_Data[],3,FALSE),"")</f>
        <v>Item/Supplier Report</v>
      </c>
    </row>
    <row r="157" spans="1:5" ht="13" hidden="1" thickTop="1" x14ac:dyDescent="0.25">
      <c r="A157" s="12" t="s">
        <v>571</v>
      </c>
      <c r="B157" s="11" t="s">
        <v>309</v>
      </c>
      <c r="C157" s="15" t="str">
        <f>IFERROR(VLOOKUP(Table_Mappings[[#This Row],[Process ID]],Table_Processes[],4,FALSE),"")</f>
        <v xml:space="preserve">09.03 Reporting - Warehousing </v>
      </c>
      <c r="D157" s="12" t="s">
        <v>572</v>
      </c>
      <c r="E157" s="16" t="str">
        <f>IFERROR(VLOOKUP(Table_Mappings[[#This Row],[Data ID]],Table_Data[],3,FALSE),"")</f>
        <v>Stock Summary Report</v>
      </c>
    </row>
    <row r="158" spans="1:5" ht="13" hidden="1" thickTop="1" x14ac:dyDescent="0.25">
      <c r="A158" s="12" t="s">
        <v>573</v>
      </c>
      <c r="B158" s="11" t="s">
        <v>309</v>
      </c>
      <c r="C158" s="15" t="str">
        <f>IFERROR(VLOOKUP(Table_Mappings[[#This Row],[Process ID]],Table_Processes[],4,FALSE),"")</f>
        <v xml:space="preserve">09.03 Reporting - Warehousing </v>
      </c>
      <c r="D158" s="12" t="s">
        <v>574</v>
      </c>
      <c r="E158" s="16" t="str">
        <f>IFERROR(VLOOKUP(Table_Mappings[[#This Row],[Data ID]],Table_Data[],3,FALSE),"")</f>
        <v>Stock Summary by Location</v>
      </c>
    </row>
    <row r="159" spans="1:5" ht="13" hidden="1" thickTop="1" x14ac:dyDescent="0.25">
      <c r="A159" s="12" t="s">
        <v>575</v>
      </c>
      <c r="B159" s="11" t="s">
        <v>309</v>
      </c>
      <c r="C159" s="15" t="str">
        <f>IFERROR(VLOOKUP(Table_Mappings[[#This Row],[Process ID]],Table_Processes[],4,FALSE),"")</f>
        <v xml:space="preserve">09.03 Reporting - Warehousing </v>
      </c>
      <c r="D159" s="12" t="s">
        <v>576</v>
      </c>
      <c r="E159" s="16" t="str">
        <f>IFERROR(VLOOKUP(Table_Mappings[[#This Row],[Data ID]],Table_Data[],3,FALSE),"")</f>
        <v>Stock Value Report</v>
      </c>
    </row>
    <row r="160" spans="1:5" ht="13" hidden="1" thickTop="1" x14ac:dyDescent="0.25">
      <c r="A160" s="12" t="s">
        <v>577</v>
      </c>
      <c r="B160" s="11" t="s">
        <v>309</v>
      </c>
      <c r="C160" s="15" t="str">
        <f>IFERROR(VLOOKUP(Table_Mappings[[#This Row],[Process ID]],Table_Processes[],4,FALSE),"")</f>
        <v xml:space="preserve">09.03 Reporting - Warehousing </v>
      </c>
      <c r="D160" s="12" t="s">
        <v>578</v>
      </c>
      <c r="E160" s="16" t="str">
        <f>IFERROR(VLOOKUP(Table_Mappings[[#This Row],[Data ID]],Table_Data[],3,FALSE),"")</f>
        <v>Stock Expiration Report</v>
      </c>
    </row>
    <row r="161" spans="1:12" ht="13" hidden="1" thickTop="1" x14ac:dyDescent="0.25">
      <c r="A161" s="12" t="s">
        <v>579</v>
      </c>
      <c r="B161" s="11" t="s">
        <v>312</v>
      </c>
      <c r="C161" s="15" t="str">
        <f>IFERROR(VLOOKUP(Table_Mappings[[#This Row],[Process ID]],Table_Processes[],4,FALSE),"")</f>
        <v xml:space="preserve">09.04 Reporting - Assets </v>
      </c>
      <c r="D161" s="12" t="s">
        <v>580</v>
      </c>
      <c r="E161" s="16" t="str">
        <f>IFERROR(VLOOKUP(Table_Mappings[[#This Row],[Data ID]],Table_Data[],3,FALSE),"")</f>
        <v>Asset Register Report</v>
      </c>
    </row>
    <row r="162" spans="1:12" ht="13" hidden="1" thickTop="1" x14ac:dyDescent="0.25">
      <c r="A162" s="12" t="s">
        <v>581</v>
      </c>
      <c r="B162" s="11" t="s">
        <v>312</v>
      </c>
      <c r="C162" s="15" t="str">
        <f>IFERROR(VLOOKUP(Table_Mappings[[#This Row],[Process ID]],Table_Processes[],4,FALSE),"")</f>
        <v xml:space="preserve">09.04 Reporting - Assets </v>
      </c>
      <c r="D162" s="12" t="s">
        <v>582</v>
      </c>
      <c r="E162" s="16" t="str">
        <f>IFERROR(VLOOKUP(Table_Mappings[[#This Row],[Data ID]],Table_Data[],3,FALSE),"")</f>
        <v>Asset Tracking Report</v>
      </c>
    </row>
    <row r="163" spans="1:12" ht="25.5" thickTop="1" x14ac:dyDescent="0.25">
      <c r="A163" s="12" t="s">
        <v>583</v>
      </c>
      <c r="B163" s="11" t="s">
        <v>318</v>
      </c>
      <c r="C163" s="15" t="str">
        <f>IFERROR(VLOOKUP(Table_Mappings[[#This Row],[Process ID]],Table_Processes[],4,FALSE),"")</f>
        <v>10.01 Donor Funding Compliance</v>
      </c>
      <c r="D163" s="12" t="s">
        <v>584</v>
      </c>
      <c r="E163" s="16" t="str">
        <f>IFERROR(VLOOKUP(Table_Mappings[[#This Row],[Data ID]],Table_Data[],3,FALSE),"")</f>
        <v>Donor</v>
      </c>
      <c r="G163" s="6" t="s">
        <v>2646</v>
      </c>
      <c r="H163" s="6" t="s">
        <v>2649</v>
      </c>
      <c r="J163" s="6" t="s">
        <v>2649</v>
      </c>
      <c r="K163" s="6" t="s">
        <v>2650</v>
      </c>
      <c r="L163">
        <v>100</v>
      </c>
    </row>
    <row r="164" spans="1:12" x14ac:dyDescent="0.25">
      <c r="A164" s="12" t="s">
        <v>585</v>
      </c>
      <c r="B164" s="11" t="s">
        <v>318</v>
      </c>
      <c r="C164" s="15" t="str">
        <f>IFERROR(VLOOKUP(Table_Mappings[[#This Row],[Process ID]],Table_Processes[],4,FALSE),"")</f>
        <v>10.01 Donor Funding Compliance</v>
      </c>
      <c r="D164" s="12" t="s">
        <v>394</v>
      </c>
      <c r="E164" s="16" t="str">
        <f>IFERROR(VLOOKUP(Table_Mappings[[#This Row],[Data ID]],Table_Data[],3,FALSE),"")</f>
        <v>Purchase Order</v>
      </c>
      <c r="G164" s="6" t="s">
        <v>2651</v>
      </c>
      <c r="H164" s="6" t="s">
        <v>957</v>
      </c>
      <c r="L164">
        <v>100</v>
      </c>
    </row>
    <row r="165" spans="1:12" x14ac:dyDescent="0.25">
      <c r="A165" s="12" t="s">
        <v>586</v>
      </c>
      <c r="B165" s="11" t="s">
        <v>318</v>
      </c>
      <c r="C165" s="15" t="str">
        <f>IFERROR(VLOOKUP(Table_Mappings[[#This Row],[Process ID]],Table_Processes[],4,FALSE),"")</f>
        <v>10.01 Donor Funding Compliance</v>
      </c>
      <c r="D165" s="12" t="s">
        <v>472</v>
      </c>
      <c r="E165" s="16" t="str">
        <f>IFERROR(VLOOKUP(Table_Mappings[[#This Row],[Data ID]],Table_Data[],3,FALSE),"")</f>
        <v>Inventory Transactions</v>
      </c>
      <c r="G165" s="6" t="s">
        <v>2648</v>
      </c>
    </row>
    <row r="166" spans="1:12" x14ac:dyDescent="0.25">
      <c r="A166" s="12" t="s">
        <v>587</v>
      </c>
      <c r="B166" s="11" t="s">
        <v>318</v>
      </c>
      <c r="C166" s="15" t="str">
        <f>IFERROR(VLOOKUP(Table_Mappings[[#This Row],[Process ID]],Table_Processes[],4,FALSE),"")</f>
        <v>10.01 Donor Funding Compliance</v>
      </c>
      <c r="D166" s="12" t="s">
        <v>548</v>
      </c>
      <c r="E166" s="16" t="str">
        <f>IFERROR(VLOOKUP(Table_Mappings[[#This Row],[Data ID]],Table_Data[],3,FALSE),"")</f>
        <v>Asset Transaction</v>
      </c>
      <c r="G166" s="6" t="s">
        <v>2648</v>
      </c>
    </row>
    <row r="167" spans="1:12" x14ac:dyDescent="0.25">
      <c r="A167" s="12" t="s">
        <v>588</v>
      </c>
      <c r="B167" s="11" t="s">
        <v>318</v>
      </c>
      <c r="C167" s="15" t="str">
        <f>IFERROR(VLOOKUP(Table_Mappings[[#This Row],[Process ID]],Table_Processes[],4,FALSE),"")</f>
        <v>10.01 Donor Funding Compliance</v>
      </c>
      <c r="D167" s="12" t="s">
        <v>589</v>
      </c>
      <c r="E167" s="16" t="str">
        <f>IFERROR(VLOOKUP(Table_Mappings[[#This Row],[Data ID]],Table_Data[],3,FALSE),"")</f>
        <v>Donor Report</v>
      </c>
      <c r="G167" s="6" t="s">
        <v>2646</v>
      </c>
    </row>
    <row r="168" spans="1:12" x14ac:dyDescent="0.25">
      <c r="A168" s="12" t="s">
        <v>590</v>
      </c>
      <c r="B168" s="11" t="s">
        <v>321</v>
      </c>
      <c r="C168" s="15" t="str">
        <f>IFERROR(VLOOKUP(Table_Mappings[[#This Row],[Process ID]],Table_Processes[],4,FALSE),"")</f>
        <v xml:space="preserve">10.02 Donor Funding - Procurement Tracking </v>
      </c>
      <c r="D168" s="12" t="s">
        <v>591</v>
      </c>
      <c r="E168" s="16" t="str">
        <f>IFERROR(VLOOKUP(Table_Mappings[[#This Row],[Data ID]],Table_Data[],3,FALSE),"")</f>
        <v>Donor Procurement Tracking</v>
      </c>
      <c r="G168" s="6" t="s">
        <v>2598</v>
      </c>
    </row>
    <row r="169" spans="1:12" x14ac:dyDescent="0.25">
      <c r="A169" s="12" t="s">
        <v>592</v>
      </c>
      <c r="B169" s="11" t="s">
        <v>324</v>
      </c>
      <c r="C169" s="15" t="str">
        <f>IFERROR(VLOOKUP(Table_Mappings[[#This Row],[Process ID]],Table_Processes[],4,FALSE),"")</f>
        <v xml:space="preserve">10.03 Donor Funding - Warehousing Tracking </v>
      </c>
      <c r="D169" s="12" t="s">
        <v>593</v>
      </c>
      <c r="E169" s="16" t="str">
        <f>IFERROR(VLOOKUP(Table_Mappings[[#This Row],[Data ID]],Table_Data[],3,FALSE),"")</f>
        <v>Donor Warehouse Tracking</v>
      </c>
      <c r="G169" s="6" t="s">
        <v>2598</v>
      </c>
    </row>
    <row r="170" spans="1:12" x14ac:dyDescent="0.25">
      <c r="A170" s="12" t="s">
        <v>594</v>
      </c>
      <c r="B170" s="11" t="s">
        <v>327</v>
      </c>
      <c r="C170" s="15" t="str">
        <f>IFERROR(VLOOKUP(Table_Mappings[[#This Row],[Process ID]],Table_Processes[],4,FALSE),"")</f>
        <v xml:space="preserve">10.04 Donor Funding - Distribution Tracking </v>
      </c>
      <c r="D170" s="12" t="s">
        <v>595</v>
      </c>
      <c r="E170" s="16" t="str">
        <f>IFERROR(VLOOKUP(Table_Mappings[[#This Row],[Data ID]],Table_Data[],3,FALSE),"")</f>
        <v>Donor Beneficiary Distribution Tracking</v>
      </c>
      <c r="G170" s="6" t="s">
        <v>2646</v>
      </c>
    </row>
    <row r="171" spans="1:12" x14ac:dyDescent="0.25">
      <c r="A171" s="12" t="s">
        <v>596</v>
      </c>
      <c r="B171" s="11" t="s">
        <v>330</v>
      </c>
      <c r="C171" s="15" t="str">
        <f>IFERROR(VLOOKUP(Table_Mappings[[#This Row],[Process ID]],Table_Processes[],4,FALSE),"")</f>
        <v>10.05 Donor Reporting</v>
      </c>
      <c r="D171" s="12" t="s">
        <v>584</v>
      </c>
      <c r="E171" s="16" t="str">
        <f>IFERROR(VLOOKUP(Table_Mappings[[#This Row],[Data ID]],Table_Data[],3,FALSE),"")</f>
        <v>Donor</v>
      </c>
      <c r="G171" s="6" t="s">
        <v>2646</v>
      </c>
    </row>
    <row r="172" spans="1:12" x14ac:dyDescent="0.25">
      <c r="A172" s="12" t="s">
        <v>597</v>
      </c>
      <c r="B172" s="11" t="s">
        <v>330</v>
      </c>
      <c r="C172" s="15" t="str">
        <f>IFERROR(VLOOKUP(Table_Mappings[[#This Row],[Process ID]],Table_Processes[],4,FALSE),"")</f>
        <v>10.05 Donor Reporting</v>
      </c>
      <c r="D172" s="12" t="s">
        <v>394</v>
      </c>
      <c r="E172" s="16" t="str">
        <f>IFERROR(VLOOKUP(Table_Mappings[[#This Row],[Data ID]],Table_Data[],3,FALSE),"")</f>
        <v>Purchase Order</v>
      </c>
      <c r="G172" s="6" t="s">
        <v>2648</v>
      </c>
    </row>
    <row r="173" spans="1:12" x14ac:dyDescent="0.25">
      <c r="A173" s="12" t="s">
        <v>598</v>
      </c>
      <c r="B173" s="11" t="s">
        <v>330</v>
      </c>
      <c r="C173" s="15" t="str">
        <f>IFERROR(VLOOKUP(Table_Mappings[[#This Row],[Process ID]],Table_Processes[],4,FALSE),"")</f>
        <v>10.05 Donor Reporting</v>
      </c>
      <c r="D173" s="12" t="s">
        <v>472</v>
      </c>
      <c r="E173" s="16" t="str">
        <f>IFERROR(VLOOKUP(Table_Mappings[[#This Row],[Data ID]],Table_Data[],3,FALSE),"")</f>
        <v>Inventory Transactions</v>
      </c>
      <c r="G173" s="6" t="s">
        <v>2648</v>
      </c>
    </row>
    <row r="174" spans="1:12" x14ac:dyDescent="0.25">
      <c r="A174" s="12" t="s">
        <v>599</v>
      </c>
      <c r="B174" s="11" t="s">
        <v>330</v>
      </c>
      <c r="C174" s="15" t="str">
        <f>IFERROR(VLOOKUP(Table_Mappings[[#This Row],[Process ID]],Table_Processes[],4,FALSE),"")</f>
        <v>10.05 Donor Reporting</v>
      </c>
      <c r="D174" s="12" t="s">
        <v>548</v>
      </c>
      <c r="E174" s="16" t="str">
        <f>IFERROR(VLOOKUP(Table_Mappings[[#This Row],[Data ID]],Table_Data[],3,FALSE),"")</f>
        <v>Asset Transaction</v>
      </c>
      <c r="G174" s="6" t="s">
        <v>2648</v>
      </c>
    </row>
    <row r="175" spans="1:12" x14ac:dyDescent="0.25">
      <c r="A175" s="12" t="s">
        <v>600</v>
      </c>
      <c r="B175" s="11" t="s">
        <v>330</v>
      </c>
      <c r="C175" s="15" t="str">
        <f>IFERROR(VLOOKUP(Table_Mappings[[#This Row],[Process ID]],Table_Processes[],4,FALSE),"")</f>
        <v>10.05 Donor Reporting</v>
      </c>
      <c r="D175" s="12" t="s">
        <v>591</v>
      </c>
      <c r="E175" s="16" t="str">
        <f>IFERROR(VLOOKUP(Table_Mappings[[#This Row],[Data ID]],Table_Data[],3,FALSE),"")</f>
        <v>Donor Procurement Tracking</v>
      </c>
      <c r="G175" s="6" t="s">
        <v>2598</v>
      </c>
    </row>
    <row r="176" spans="1:12" x14ac:dyDescent="0.25">
      <c r="A176" s="12" t="s">
        <v>601</v>
      </c>
      <c r="B176" s="11" t="s">
        <v>330</v>
      </c>
      <c r="C176" s="15" t="str">
        <f>IFERROR(VLOOKUP(Table_Mappings[[#This Row],[Process ID]],Table_Processes[],4,FALSE),"")</f>
        <v>10.05 Donor Reporting</v>
      </c>
      <c r="D176" s="12" t="s">
        <v>593</v>
      </c>
      <c r="E176" s="16" t="str">
        <f>IFERROR(VLOOKUP(Table_Mappings[[#This Row],[Data ID]],Table_Data[],3,FALSE),"")</f>
        <v>Donor Warehouse Tracking</v>
      </c>
      <c r="G176" s="6" t="s">
        <v>2598</v>
      </c>
    </row>
    <row r="177" spans="1:7" x14ac:dyDescent="0.25">
      <c r="A177" s="12" t="s">
        <v>602</v>
      </c>
      <c r="B177" s="11" t="s">
        <v>330</v>
      </c>
      <c r="C177" s="15" t="str">
        <f>IFERROR(VLOOKUP(Table_Mappings[[#This Row],[Process ID]],Table_Processes[],4,FALSE),"")</f>
        <v>10.05 Donor Reporting</v>
      </c>
      <c r="D177" s="12" t="s">
        <v>595</v>
      </c>
      <c r="E177" s="16" t="str">
        <f>IFERROR(VLOOKUP(Table_Mappings[[#This Row],[Data ID]],Table_Data[],3,FALSE),"")</f>
        <v>Donor Beneficiary Distribution Tracking</v>
      </c>
      <c r="G177" s="6" t="s">
        <v>2646</v>
      </c>
    </row>
    <row r="178" spans="1:7" x14ac:dyDescent="0.25">
      <c r="A178" s="12" t="s">
        <v>603</v>
      </c>
      <c r="B178" s="11" t="s">
        <v>330</v>
      </c>
      <c r="C178" s="15" t="str">
        <f>IFERROR(VLOOKUP(Table_Mappings[[#This Row],[Process ID]],Table_Processes[],4,FALSE),"")</f>
        <v>10.05 Donor Reporting</v>
      </c>
      <c r="D178" s="12" t="s">
        <v>604</v>
      </c>
      <c r="E178" s="16" t="str">
        <f>IFERROR(VLOOKUP(Table_Mappings[[#This Row],[Data ID]],Table_Data[],3,FALSE),"")</f>
        <v>Donor Procurement Tracking Report</v>
      </c>
      <c r="G178" s="6" t="s">
        <v>2598</v>
      </c>
    </row>
    <row r="179" spans="1:7" x14ac:dyDescent="0.25">
      <c r="A179" s="12" t="s">
        <v>605</v>
      </c>
      <c r="B179" s="11" t="s">
        <v>330</v>
      </c>
      <c r="C179" s="15" t="str">
        <f>IFERROR(VLOOKUP(Table_Mappings[[#This Row],[Process ID]],Table_Processes[],4,FALSE),"")</f>
        <v>10.05 Donor Reporting</v>
      </c>
      <c r="D179" s="12" t="s">
        <v>606</v>
      </c>
      <c r="E179" s="16" t="str">
        <f>IFERROR(VLOOKUP(Table_Mappings[[#This Row],[Data ID]],Table_Data[],3,FALSE),"")</f>
        <v>Donor Warehouse Tracking Report</v>
      </c>
      <c r="G179" s="6" t="s">
        <v>2598</v>
      </c>
    </row>
    <row r="180" spans="1:7" x14ac:dyDescent="0.25">
      <c r="A180" s="12" t="s">
        <v>607</v>
      </c>
      <c r="B180" s="11" t="s">
        <v>330</v>
      </c>
      <c r="C180" s="15" t="str">
        <f>IFERROR(VLOOKUP(Table_Mappings[[#This Row],[Process ID]],Table_Processes[],4,FALSE),"")</f>
        <v>10.05 Donor Reporting</v>
      </c>
      <c r="D180" s="12" t="s">
        <v>608</v>
      </c>
      <c r="E180" s="16" t="str">
        <f>IFERROR(VLOOKUP(Table_Mappings[[#This Row],[Data ID]],Table_Data[],3,FALSE),"")</f>
        <v>Donor Distribution Tracking Report</v>
      </c>
      <c r="G180" s="6" t="s">
        <v>2598</v>
      </c>
    </row>
    <row r="181" spans="1:7" x14ac:dyDescent="0.25">
      <c r="A181" s="12" t="s">
        <v>609</v>
      </c>
      <c r="B181" s="11" t="s">
        <v>333</v>
      </c>
      <c r="C181" s="15" t="str">
        <f>IFERROR(VLOOKUP(Table_Mappings[[#This Row],[Process ID]],Table_Processes[],4,FALSE),"")</f>
        <v xml:space="preserve">10.06 Consortium Funding - Procurement Tracking </v>
      </c>
      <c r="D181" s="12" t="s">
        <v>610</v>
      </c>
      <c r="E181" s="16" t="str">
        <f>IFERROR(VLOOKUP(Table_Mappings[[#This Row],[Data ID]],Table_Data[],3,FALSE),"")</f>
        <v>Consortium Procurement Tracking</v>
      </c>
      <c r="G181" s="6" t="s">
        <v>2598</v>
      </c>
    </row>
    <row r="182" spans="1:7" ht="25" x14ac:dyDescent="0.25">
      <c r="A182" s="12" t="s">
        <v>611</v>
      </c>
      <c r="B182" s="11" t="s">
        <v>336</v>
      </c>
      <c r="C182" s="15" t="str">
        <f>IFERROR(VLOOKUP(Table_Mappings[[#This Row],[Process ID]],Table_Processes[],4,FALSE),"")</f>
        <v xml:space="preserve">10.07 Consortium Funding - Distribution to Beneficiaries Tracking </v>
      </c>
      <c r="D182" s="12" t="s">
        <v>612</v>
      </c>
      <c r="E182" s="16" t="str">
        <f>IFERROR(VLOOKUP(Table_Mappings[[#This Row],[Data ID]],Table_Data[],3,FALSE),"")</f>
        <v>Consortium Beneficiary Distribution Tracking</v>
      </c>
      <c r="G182" s="6" t="s">
        <v>2646</v>
      </c>
    </row>
    <row r="183" spans="1:7" ht="25" x14ac:dyDescent="0.25">
      <c r="A183" s="12" t="s">
        <v>613</v>
      </c>
      <c r="B183" s="11" t="s">
        <v>339</v>
      </c>
      <c r="C183" s="15" t="str">
        <f>IFERROR(VLOOKUP(Table_Mappings[[#This Row],[Process ID]],Table_Processes[],4,FALSE),"")</f>
        <v xml:space="preserve">10.08 Consortium Funding - Distribution to Partners Tracking </v>
      </c>
      <c r="D183" s="12" t="s">
        <v>614</v>
      </c>
      <c r="E183" s="16" t="str">
        <f>IFERROR(VLOOKUP(Table_Mappings[[#This Row],[Data ID]],Table_Data[],3,FALSE),"")</f>
        <v>Consortium Partner Distribution Tracking</v>
      </c>
      <c r="G183" s="6" t="s">
        <v>2598</v>
      </c>
    </row>
    <row r="184" spans="1:7" x14ac:dyDescent="0.25">
      <c r="A184" s="12" t="s">
        <v>615</v>
      </c>
      <c r="B184" s="11" t="s">
        <v>342</v>
      </c>
      <c r="C184" s="15" t="str">
        <f>IFERROR(VLOOKUP(Table_Mappings[[#This Row],[Process ID]],Table_Processes[],4,FALSE),"")</f>
        <v xml:space="preserve">10.09 Consortium Reporting </v>
      </c>
      <c r="D184" s="12" t="s">
        <v>584</v>
      </c>
      <c r="E184" s="16" t="str">
        <f>IFERROR(VLOOKUP(Table_Mappings[[#This Row],[Data ID]],Table_Data[],3,FALSE),"")</f>
        <v>Donor</v>
      </c>
      <c r="G184" s="6" t="s">
        <v>2646</v>
      </c>
    </row>
    <row r="185" spans="1:7" x14ac:dyDescent="0.25">
      <c r="A185" s="12" t="s">
        <v>616</v>
      </c>
      <c r="B185" s="11" t="s">
        <v>342</v>
      </c>
      <c r="C185" s="15" t="str">
        <f>IFERROR(VLOOKUP(Table_Mappings[[#This Row],[Process ID]],Table_Processes[],4,FALSE),"")</f>
        <v xml:space="preserve">10.09 Consortium Reporting </v>
      </c>
      <c r="D185" s="12" t="s">
        <v>394</v>
      </c>
      <c r="E185" s="16" t="str">
        <f>IFERROR(VLOOKUP(Table_Mappings[[#This Row],[Data ID]],Table_Data[],3,FALSE),"")</f>
        <v>Purchase Order</v>
      </c>
      <c r="G185" s="6" t="s">
        <v>2648</v>
      </c>
    </row>
    <row r="186" spans="1:7" x14ac:dyDescent="0.25">
      <c r="A186" s="12" t="s">
        <v>617</v>
      </c>
      <c r="B186" s="11" t="s">
        <v>342</v>
      </c>
      <c r="C186" s="15" t="str">
        <f>IFERROR(VLOOKUP(Table_Mappings[[#This Row],[Process ID]],Table_Processes[],4,FALSE),"")</f>
        <v xml:space="preserve">10.09 Consortium Reporting </v>
      </c>
      <c r="D186" s="12" t="s">
        <v>472</v>
      </c>
      <c r="E186" s="16" t="str">
        <f>IFERROR(VLOOKUP(Table_Mappings[[#This Row],[Data ID]],Table_Data[],3,FALSE),"")</f>
        <v>Inventory Transactions</v>
      </c>
      <c r="G186" s="6" t="s">
        <v>2648</v>
      </c>
    </row>
    <row r="187" spans="1:7" x14ac:dyDescent="0.25">
      <c r="A187" s="12" t="s">
        <v>618</v>
      </c>
      <c r="B187" s="11" t="s">
        <v>342</v>
      </c>
      <c r="C187" s="15" t="str">
        <f>IFERROR(VLOOKUP(Table_Mappings[[#This Row],[Process ID]],Table_Processes[],4,FALSE),"")</f>
        <v xml:space="preserve">10.09 Consortium Reporting </v>
      </c>
      <c r="D187" s="12" t="s">
        <v>548</v>
      </c>
      <c r="E187" s="16" t="str">
        <f>IFERROR(VLOOKUP(Table_Mappings[[#This Row],[Data ID]],Table_Data[],3,FALSE),"")</f>
        <v>Asset Transaction</v>
      </c>
      <c r="G187" s="6" t="s">
        <v>2648</v>
      </c>
    </row>
    <row r="188" spans="1:7" x14ac:dyDescent="0.25">
      <c r="A188" s="12" t="s">
        <v>619</v>
      </c>
      <c r="B188" s="11" t="s">
        <v>342</v>
      </c>
      <c r="C188" s="15" t="str">
        <f>IFERROR(VLOOKUP(Table_Mappings[[#This Row],[Process ID]],Table_Processes[],4,FALSE),"")</f>
        <v xml:space="preserve">10.09 Consortium Reporting </v>
      </c>
      <c r="D188" s="12" t="s">
        <v>593</v>
      </c>
      <c r="E188" s="16" t="str">
        <f>IFERROR(VLOOKUP(Table_Mappings[[#This Row],[Data ID]],Table_Data[],3,FALSE),"")</f>
        <v>Donor Warehouse Tracking</v>
      </c>
    </row>
    <row r="189" spans="1:7" x14ac:dyDescent="0.25">
      <c r="A189" s="12" t="s">
        <v>620</v>
      </c>
      <c r="B189" s="11" t="s">
        <v>342</v>
      </c>
      <c r="C189" s="15" t="str">
        <f>IFERROR(VLOOKUP(Table_Mappings[[#This Row],[Process ID]],Table_Processes[],4,FALSE),"")</f>
        <v xml:space="preserve">10.09 Consortium Reporting </v>
      </c>
      <c r="D189" s="12" t="s">
        <v>610</v>
      </c>
      <c r="E189" s="16" t="str">
        <f>IFERROR(VLOOKUP(Table_Mappings[[#This Row],[Data ID]],Table_Data[],3,FALSE),"")</f>
        <v>Consortium Procurement Tracking</v>
      </c>
    </row>
    <row r="190" spans="1:7" x14ac:dyDescent="0.25">
      <c r="A190" s="12" t="s">
        <v>621</v>
      </c>
      <c r="B190" s="11" t="s">
        <v>342</v>
      </c>
      <c r="C190" s="15" t="str">
        <f>IFERROR(VLOOKUP(Table_Mappings[[#This Row],[Process ID]],Table_Processes[],4,FALSE),"")</f>
        <v xml:space="preserve">10.09 Consortium Reporting </v>
      </c>
      <c r="D190" s="12" t="s">
        <v>612</v>
      </c>
      <c r="E190" s="16" t="str">
        <f>IFERROR(VLOOKUP(Table_Mappings[[#This Row],[Data ID]],Table_Data[],3,FALSE),"")</f>
        <v>Consortium Beneficiary Distribution Tracking</v>
      </c>
    </row>
    <row r="191" spans="1:7" x14ac:dyDescent="0.25">
      <c r="A191" s="12" t="s">
        <v>622</v>
      </c>
      <c r="B191" s="11" t="s">
        <v>342</v>
      </c>
      <c r="C191" s="15" t="str">
        <f>IFERROR(VLOOKUP(Table_Mappings[[#This Row],[Process ID]],Table_Processes[],4,FALSE),"")</f>
        <v xml:space="preserve">10.09 Consortium Reporting </v>
      </c>
      <c r="D191" s="12" t="s">
        <v>614</v>
      </c>
      <c r="E191" s="16" t="str">
        <f>IFERROR(VLOOKUP(Table_Mappings[[#This Row],[Data ID]],Table_Data[],3,FALSE),"")</f>
        <v>Consortium Partner Distribution Tracking</v>
      </c>
    </row>
    <row r="192" spans="1:7" x14ac:dyDescent="0.25">
      <c r="A192" s="12" t="s">
        <v>623</v>
      </c>
      <c r="B192" s="11" t="s">
        <v>342</v>
      </c>
      <c r="C192" s="15" t="str">
        <f>IFERROR(VLOOKUP(Table_Mappings[[#This Row],[Process ID]],Table_Processes[],4,FALSE),"")</f>
        <v xml:space="preserve">10.09 Consortium Reporting </v>
      </c>
      <c r="D192" s="12" t="s">
        <v>624</v>
      </c>
      <c r="E192" s="16" t="str">
        <f>IFERROR(VLOOKUP(Table_Mappings[[#This Row],[Data ID]],Table_Data[],3,FALSE),"")</f>
        <v>Consortium Reporting</v>
      </c>
    </row>
    <row r="193" spans="1:7" x14ac:dyDescent="0.25">
      <c r="A193" s="12" t="s">
        <v>625</v>
      </c>
      <c r="B193" s="11" t="s">
        <v>342</v>
      </c>
      <c r="C193" s="15" t="str">
        <f>IFERROR(VLOOKUP(Table_Mappings[[#This Row],[Process ID]],Table_Processes[],4,FALSE),"")</f>
        <v xml:space="preserve">10.09 Consortium Reporting </v>
      </c>
      <c r="D193" s="12" t="s">
        <v>589</v>
      </c>
      <c r="E193" s="16" t="str">
        <f>IFERROR(VLOOKUP(Table_Mappings[[#This Row],[Data ID]],Table_Data[],3,FALSE),"")</f>
        <v>Donor Report</v>
      </c>
      <c r="G193" s="6" t="s">
        <v>2647</v>
      </c>
    </row>
    <row r="194" spans="1:7" x14ac:dyDescent="0.25">
      <c r="A194" s="12" t="s">
        <v>626</v>
      </c>
      <c r="B194" s="11" t="s">
        <v>342</v>
      </c>
      <c r="C194" s="15" t="str">
        <f>IFERROR(VLOOKUP(Table_Mappings[[#This Row],[Process ID]],Table_Processes[],4,FALSE),"")</f>
        <v xml:space="preserve">10.09 Consortium Reporting </v>
      </c>
      <c r="D194" s="12" t="s">
        <v>604</v>
      </c>
      <c r="E194" s="16" t="str">
        <f>IFERROR(VLOOKUP(Table_Mappings[[#This Row],[Data ID]],Table_Data[],3,FALSE),"")</f>
        <v>Donor Procurement Tracking Report</v>
      </c>
      <c r="G194" s="6" t="s">
        <v>2647</v>
      </c>
    </row>
    <row r="195" spans="1:7" x14ac:dyDescent="0.25">
      <c r="A195" s="12" t="s">
        <v>627</v>
      </c>
      <c r="B195" s="11" t="s">
        <v>342</v>
      </c>
      <c r="C195" s="15" t="str">
        <f>IFERROR(VLOOKUP(Table_Mappings[[#This Row],[Process ID]],Table_Processes[],4,FALSE),"")</f>
        <v xml:space="preserve">10.09 Consortium Reporting </v>
      </c>
      <c r="D195" s="12" t="s">
        <v>606</v>
      </c>
      <c r="E195" s="16" t="str">
        <f>IFERROR(VLOOKUP(Table_Mappings[[#This Row],[Data ID]],Table_Data[],3,FALSE),"")</f>
        <v>Donor Warehouse Tracking Report</v>
      </c>
      <c r="G195" s="6" t="s">
        <v>2647</v>
      </c>
    </row>
    <row r="196" spans="1:7" x14ac:dyDescent="0.25">
      <c r="A196" s="12" t="s">
        <v>628</v>
      </c>
      <c r="B196" s="11" t="s">
        <v>342</v>
      </c>
      <c r="C196" s="15" t="str">
        <f>IFERROR(VLOOKUP(Table_Mappings[[#This Row],[Process ID]],Table_Processes[],4,FALSE),"")</f>
        <v xml:space="preserve">10.09 Consortium Reporting </v>
      </c>
      <c r="D196" s="12" t="s">
        <v>608</v>
      </c>
      <c r="E196" s="16" t="str">
        <f>IFERROR(VLOOKUP(Table_Mappings[[#This Row],[Data ID]],Table_Data[],3,FALSE),"")</f>
        <v>Donor Distribution Tracking Report</v>
      </c>
      <c r="G196" s="6" t="s">
        <v>2647</v>
      </c>
    </row>
  </sheetData>
  <phoneticPr fontId="5" type="noConversion"/>
  <dataValidations count="2">
    <dataValidation type="list" allowBlank="1" showInputMessage="1" showErrorMessage="1" sqref="B3:B196" xr:uid="{B3F3FBC0-2C23-4317-AFD3-D5F8A48C747A}">
      <formula1>ID_P</formula1>
    </dataValidation>
    <dataValidation type="list" allowBlank="1" showInputMessage="1" showErrorMessage="1" sqref="D3:D196" xr:uid="{732A5625-9968-463A-AC35-68454190F97D}">
      <formula1>ID_D</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D3B7E-C897-49E3-A33A-F58F52FFEF42}">
  <sheetPr codeName="Sheet4">
    <tabColor rgb="FF7030A0"/>
  </sheetPr>
  <dimension ref="A1:O1214"/>
  <sheetViews>
    <sheetView tabSelected="1" topLeftCell="B1" zoomScale="81" zoomScaleNormal="145" workbookViewId="0">
      <pane ySplit="2" topLeftCell="A3" activePane="bottomLeft" state="frozen"/>
      <selection pane="bottomLeft" activeCell="B1" sqref="B1:G2"/>
    </sheetView>
  </sheetViews>
  <sheetFormatPr defaultColWidth="8.7265625" defaultRowHeight="12.5" x14ac:dyDescent="0.25"/>
  <cols>
    <col min="1" max="1" width="9.7265625" customWidth="1"/>
    <col min="3" max="3" width="30.26953125" style="18" customWidth="1"/>
    <col min="4" max="4" width="25.1796875" style="19" customWidth="1"/>
    <col min="5" max="5" width="28.26953125" style="9" customWidth="1"/>
    <col min="6" max="6" width="53.08984375" style="9" customWidth="1"/>
    <col min="7" max="7" width="55.26953125" customWidth="1"/>
    <col min="8" max="8" width="1.81640625" customWidth="1"/>
    <col min="9" max="9" width="12.08984375" style="19" customWidth="1"/>
    <col min="10" max="10" width="14.36328125" style="19" customWidth="1"/>
    <col min="11" max="12" width="19.81640625" style="19" customWidth="1"/>
    <col min="13" max="13" width="20.08984375" style="19" customWidth="1"/>
    <col min="14" max="14" width="17.453125" style="181" customWidth="1"/>
  </cols>
  <sheetData>
    <row r="1" spans="1:15" ht="32.5" x14ac:dyDescent="0.25">
      <c r="A1" s="26"/>
      <c r="B1" s="26"/>
      <c r="C1" s="27" t="s">
        <v>629</v>
      </c>
      <c r="D1" s="154"/>
      <c r="E1" s="26"/>
      <c r="F1" s="26"/>
      <c r="G1" s="26"/>
      <c r="I1" s="184" t="s">
        <v>2596</v>
      </c>
      <c r="J1" s="180"/>
      <c r="K1" s="180"/>
      <c r="L1" s="180"/>
      <c r="M1" s="180"/>
      <c r="N1" s="180"/>
      <c r="O1" s="175"/>
    </row>
    <row r="2" spans="1:15" s="19" customFormat="1" ht="31.5" thickBot="1" x14ac:dyDescent="0.3">
      <c r="A2" s="29" t="s">
        <v>630</v>
      </c>
      <c r="B2" s="29" t="s">
        <v>631</v>
      </c>
      <c r="C2" s="29" t="s">
        <v>632</v>
      </c>
      <c r="D2" s="29" t="s">
        <v>633</v>
      </c>
      <c r="E2" s="29" t="s">
        <v>634</v>
      </c>
      <c r="F2" s="29" t="s">
        <v>635</v>
      </c>
      <c r="G2" s="5" t="s">
        <v>636</v>
      </c>
      <c r="I2" s="176" t="s">
        <v>2597</v>
      </c>
      <c r="J2" s="176" t="s">
        <v>640</v>
      </c>
      <c r="K2" s="176" t="s">
        <v>2601</v>
      </c>
      <c r="L2" s="176" t="s">
        <v>2609</v>
      </c>
      <c r="M2" s="176" t="s">
        <v>2602</v>
      </c>
      <c r="N2" s="176" t="s">
        <v>2603</v>
      </c>
      <c r="O2" s="176"/>
    </row>
    <row r="3" spans="1:15" ht="125.5" thickTop="1" x14ac:dyDescent="0.25">
      <c r="A3" s="20" t="s">
        <v>354</v>
      </c>
      <c r="B3" s="11" t="s">
        <v>79</v>
      </c>
      <c r="C3" s="6" t="s">
        <v>637</v>
      </c>
      <c r="D3" s="17"/>
      <c r="E3" s="17"/>
      <c r="F3" s="6" t="s">
        <v>638</v>
      </c>
      <c r="G3" s="15" t="str" cm="1">
        <f t="array" ref="G3">MultiMatchPrefix(Table_Data[[#This Row],[D ID]],Table_Mappings[Data ID],0,"",TRUE,";
")</f>
        <v xml:space="preserve">01.01 Needs Assessment for goods, kits, services or works from program and/or operation management;
01.02 Review and Update of Needs Assessment for goods, kits, services or works;
02.01 Procurement planning of goods or kits;
02.07 Donation (Request for in kind donation);
02.08 Procurement planning of services or works;
02.15 Donation (Request for donation of service or works);
03.01 Warehousing planning;
03.10 Kits monitoring </v>
      </c>
      <c r="I3" s="19" t="s">
        <v>2632</v>
      </c>
      <c r="J3" s="19" t="s">
        <v>2652</v>
      </c>
      <c r="K3" s="19" t="s">
        <v>2652</v>
      </c>
      <c r="L3" s="19" t="s">
        <v>2658</v>
      </c>
      <c r="M3" s="19" t="s">
        <v>2665</v>
      </c>
      <c r="N3" s="181">
        <v>100</v>
      </c>
    </row>
    <row r="4" spans="1:15" x14ac:dyDescent="0.25">
      <c r="A4" s="20" t="s">
        <v>639</v>
      </c>
      <c r="B4" s="11" t="s">
        <v>640</v>
      </c>
      <c r="C4" s="6" t="s">
        <v>637</v>
      </c>
      <c r="D4" s="6" t="s">
        <v>641</v>
      </c>
      <c r="E4" s="17"/>
      <c r="F4" s="6" t="s">
        <v>81</v>
      </c>
      <c r="G4" s="15" t="str" cm="1">
        <f t="array" ref="G4">MultiMatchPrefix(Table_Data[[#This Row],[D ID]],Table_Mappings[Data ID],0,"",TRUE,";
")</f>
        <v/>
      </c>
      <c r="I4" s="19" t="s">
        <v>2632</v>
      </c>
      <c r="J4" s="19" t="s">
        <v>1061</v>
      </c>
      <c r="K4" s="19" t="s">
        <v>2677</v>
      </c>
      <c r="L4" s="19" t="s">
        <v>2681</v>
      </c>
      <c r="N4" s="181" t="s">
        <v>2639</v>
      </c>
    </row>
    <row r="5" spans="1:15" x14ac:dyDescent="0.25">
      <c r="A5" s="20" t="s">
        <v>642</v>
      </c>
      <c r="B5" s="11" t="s">
        <v>643</v>
      </c>
      <c r="C5" s="6" t="s">
        <v>637</v>
      </c>
      <c r="D5" s="6" t="s">
        <v>641</v>
      </c>
      <c r="E5" s="6" t="s">
        <v>644</v>
      </c>
      <c r="F5" s="6" t="s">
        <v>81</v>
      </c>
      <c r="G5" s="15" t="str" cm="1">
        <f t="array" ref="G5">MultiMatchPrefix(Table_Data[[#This Row],[D ID]],Table_Mappings[Data ID],0,"",TRUE,";
")</f>
        <v/>
      </c>
      <c r="I5" s="19" t="s">
        <v>2632</v>
      </c>
      <c r="J5" s="19" t="s">
        <v>1061</v>
      </c>
      <c r="K5" s="19" t="s">
        <v>2678</v>
      </c>
      <c r="L5" s="19" t="s">
        <v>2682</v>
      </c>
      <c r="N5" s="181" t="s">
        <v>2639</v>
      </c>
    </row>
    <row r="6" spans="1:15" x14ac:dyDescent="0.25">
      <c r="A6" s="20" t="s">
        <v>645</v>
      </c>
      <c r="B6" s="11" t="s">
        <v>643</v>
      </c>
      <c r="C6" s="6" t="s">
        <v>637</v>
      </c>
      <c r="D6" s="6" t="s">
        <v>641</v>
      </c>
      <c r="E6" s="6" t="s">
        <v>646</v>
      </c>
      <c r="F6" s="6" t="s">
        <v>81</v>
      </c>
      <c r="G6" s="15" t="str" cm="1">
        <f t="array" ref="G6">MultiMatchPrefix(Table_Data[[#This Row],[D ID]],Table_Mappings[Data ID],0,"",TRUE,";
")</f>
        <v/>
      </c>
      <c r="I6" s="19" t="s">
        <v>2632</v>
      </c>
      <c r="J6" s="19" t="s">
        <v>1061</v>
      </c>
      <c r="K6" s="19" t="s">
        <v>635</v>
      </c>
      <c r="L6" s="19" t="s">
        <v>2655</v>
      </c>
      <c r="N6" s="181" t="s">
        <v>2639</v>
      </c>
    </row>
    <row r="7" spans="1:15" x14ac:dyDescent="0.25">
      <c r="A7" s="20" t="s">
        <v>647</v>
      </c>
      <c r="B7" s="11" t="s">
        <v>640</v>
      </c>
      <c r="C7" s="6" t="s">
        <v>637</v>
      </c>
      <c r="D7" s="6" t="s">
        <v>648</v>
      </c>
      <c r="E7" s="17"/>
      <c r="F7" s="6" t="s">
        <v>81</v>
      </c>
      <c r="G7" s="15" t="str" cm="1">
        <f t="array" ref="G7">MultiMatchPrefix(Table_Data[[#This Row],[D ID]],Table_Mappings[Data ID],0,"",TRUE,";
")</f>
        <v/>
      </c>
      <c r="I7" s="19" t="s">
        <v>2632</v>
      </c>
      <c r="J7" s="19" t="s">
        <v>2759</v>
      </c>
      <c r="K7" s="19" t="s">
        <v>1216</v>
      </c>
      <c r="L7" s="19" t="s">
        <v>2614</v>
      </c>
      <c r="N7" s="181" t="s">
        <v>2639</v>
      </c>
    </row>
    <row r="8" spans="1:15" x14ac:dyDescent="0.25">
      <c r="A8" s="20" t="s">
        <v>649</v>
      </c>
      <c r="B8" s="11" t="s">
        <v>643</v>
      </c>
      <c r="C8" s="6" t="s">
        <v>637</v>
      </c>
      <c r="D8" s="6" t="s">
        <v>648</v>
      </c>
      <c r="E8" s="6" t="s">
        <v>650</v>
      </c>
      <c r="F8" s="6" t="s">
        <v>81</v>
      </c>
      <c r="G8" s="15" t="str" cm="1">
        <f t="array" ref="G8">MultiMatchPrefix(Table_Data[[#This Row],[D ID]],Table_Mappings[Data ID],0,"",TRUE,";
")</f>
        <v/>
      </c>
      <c r="I8" s="19" t="s">
        <v>2632</v>
      </c>
      <c r="J8" s="19" t="s">
        <v>2759</v>
      </c>
      <c r="K8" s="19" t="s">
        <v>650</v>
      </c>
      <c r="L8" s="19" t="s">
        <v>2654</v>
      </c>
      <c r="N8" s="181" t="s">
        <v>2639</v>
      </c>
    </row>
    <row r="9" spans="1:15" x14ac:dyDescent="0.25">
      <c r="A9" s="20" t="s">
        <v>651</v>
      </c>
      <c r="B9" s="11" t="s">
        <v>643</v>
      </c>
      <c r="C9" s="6" t="s">
        <v>637</v>
      </c>
      <c r="D9" s="6" t="s">
        <v>648</v>
      </c>
      <c r="E9" s="6" t="s">
        <v>652</v>
      </c>
      <c r="F9" s="6" t="s">
        <v>81</v>
      </c>
      <c r="G9" s="15" t="str" cm="1">
        <f t="array" ref="G9">MultiMatchPrefix(Table_Data[[#This Row],[D ID]],Table_Mappings[Data ID],0,"",TRUE,";
")</f>
        <v/>
      </c>
      <c r="I9" s="19" t="s">
        <v>2632</v>
      </c>
      <c r="J9" s="19" t="s">
        <v>2759</v>
      </c>
      <c r="K9" s="19" t="s">
        <v>2653</v>
      </c>
      <c r="L9" s="19" t="s">
        <v>2656</v>
      </c>
      <c r="N9" s="181" t="s">
        <v>2639</v>
      </c>
    </row>
    <row r="10" spans="1:15" x14ac:dyDescent="0.25">
      <c r="A10" s="20" t="s">
        <v>653</v>
      </c>
      <c r="B10" s="11" t="s">
        <v>640</v>
      </c>
      <c r="C10" s="6" t="s">
        <v>637</v>
      </c>
      <c r="D10" s="6" t="s">
        <v>654</v>
      </c>
      <c r="E10" s="17"/>
      <c r="F10" s="6" t="s">
        <v>81</v>
      </c>
      <c r="G10" s="15" t="str" cm="1">
        <f t="array" ref="G10">MultiMatchPrefix(Table_Data[[#This Row],[D ID]],Table_Mappings[Data ID],0,"",TRUE,";
")</f>
        <v/>
      </c>
      <c r="I10" s="19" t="s">
        <v>2632</v>
      </c>
      <c r="J10" s="19" t="s">
        <v>2663</v>
      </c>
      <c r="K10" s="19" t="s">
        <v>1216</v>
      </c>
      <c r="L10" s="19" t="s">
        <v>2614</v>
      </c>
      <c r="N10" s="181">
        <v>100</v>
      </c>
    </row>
    <row r="11" spans="1:15" ht="37.5" x14ac:dyDescent="0.25">
      <c r="A11" s="20" t="s">
        <v>655</v>
      </c>
      <c r="B11" s="11" t="s">
        <v>643</v>
      </c>
      <c r="C11" s="6" t="s">
        <v>637</v>
      </c>
      <c r="D11" s="6" t="s">
        <v>654</v>
      </c>
      <c r="E11" s="6" t="s">
        <v>656</v>
      </c>
      <c r="F11" s="6" t="s">
        <v>81</v>
      </c>
      <c r="G11" s="15" t="str" cm="1">
        <f t="array" ref="G11">MultiMatchPrefix(Table_Data[[#This Row],[D ID]],Table_Mappings[Data ID],0,"",TRUE,";
")</f>
        <v/>
      </c>
      <c r="I11" s="19" t="s">
        <v>2632</v>
      </c>
      <c r="J11" s="19" t="s">
        <v>2663</v>
      </c>
      <c r="K11" s="19" t="s">
        <v>635</v>
      </c>
      <c r="L11" s="19" t="s">
        <v>2655</v>
      </c>
      <c r="M11" s="19" t="s">
        <v>2664</v>
      </c>
      <c r="N11" s="181">
        <v>100</v>
      </c>
    </row>
    <row r="12" spans="1:15" x14ac:dyDescent="0.25">
      <c r="A12" s="20" t="s">
        <v>657</v>
      </c>
      <c r="B12" s="11" t="s">
        <v>643</v>
      </c>
      <c r="C12" s="6" t="s">
        <v>637</v>
      </c>
      <c r="D12" s="6" t="s">
        <v>654</v>
      </c>
      <c r="E12" s="6" t="s">
        <v>658</v>
      </c>
      <c r="F12" s="6" t="s">
        <v>81</v>
      </c>
      <c r="G12" s="15" t="str" cm="1">
        <f t="array" ref="G12">MultiMatchPrefix(Table_Data[[#This Row],[D ID]],Table_Mappings[Data ID],0,"",TRUE,";
")</f>
        <v/>
      </c>
      <c r="I12" s="19" t="s">
        <v>2632</v>
      </c>
      <c r="J12" s="19" t="s">
        <v>2663</v>
      </c>
      <c r="K12" s="19" t="s">
        <v>2661</v>
      </c>
      <c r="L12" s="19" t="s">
        <v>2662</v>
      </c>
      <c r="N12" s="181" t="s">
        <v>2639</v>
      </c>
    </row>
    <row r="13" spans="1:15" ht="37.5" x14ac:dyDescent="0.25">
      <c r="A13" s="20" t="s">
        <v>357</v>
      </c>
      <c r="B13" s="11" t="s">
        <v>79</v>
      </c>
      <c r="C13" s="6" t="s">
        <v>659</v>
      </c>
      <c r="D13" s="17"/>
      <c r="E13" s="17"/>
      <c r="F13" s="6" t="s">
        <v>660</v>
      </c>
      <c r="G13" s="15" t="str" cm="1">
        <f t="array" ref="G13">MultiMatchPrefix(Table_Data[[#This Row],[D ID]],Table_Mappings[Data ID],0,"",TRUE,";
")</f>
        <v>01.03 Order and Procurement Planning ;
01.04 Financial Planning ;
03.01 Warehousing planning</v>
      </c>
      <c r="I13" s="19" t="s">
        <v>2668</v>
      </c>
    </row>
    <row r="14" spans="1:15" x14ac:dyDescent="0.25">
      <c r="A14" s="20" t="s">
        <v>661</v>
      </c>
      <c r="B14" s="11" t="s">
        <v>640</v>
      </c>
      <c r="C14" s="6" t="s">
        <v>659</v>
      </c>
      <c r="D14" s="6" t="s">
        <v>641</v>
      </c>
      <c r="E14" s="17"/>
      <c r="F14" s="6" t="s">
        <v>81</v>
      </c>
      <c r="G14" s="15" t="str" cm="1">
        <f t="array" ref="G14">MultiMatchPrefix(Table_Data[[#This Row],[D ID]],Table_Mappings[Data ID],0,"",TRUE,";
")</f>
        <v/>
      </c>
      <c r="I14" s="19" t="s">
        <v>2632</v>
      </c>
      <c r="J14" s="19" t="s">
        <v>1061</v>
      </c>
      <c r="K14" s="19" t="s">
        <v>2677</v>
      </c>
      <c r="L14" s="19" t="s">
        <v>2681</v>
      </c>
      <c r="N14" s="181" t="s">
        <v>2639</v>
      </c>
    </row>
    <row r="15" spans="1:15" x14ac:dyDescent="0.25">
      <c r="A15" s="20" t="s">
        <v>662</v>
      </c>
      <c r="B15" s="11" t="s">
        <v>643</v>
      </c>
      <c r="C15" s="6" t="s">
        <v>659</v>
      </c>
      <c r="D15" s="6" t="s">
        <v>641</v>
      </c>
      <c r="E15" s="6" t="s">
        <v>644</v>
      </c>
      <c r="F15" s="6" t="s">
        <v>81</v>
      </c>
      <c r="G15" s="15" t="str" cm="1">
        <f t="array" ref="G15">MultiMatchPrefix(Table_Data[[#This Row],[D ID]],Table_Mappings[Data ID],0,"",TRUE,";
")</f>
        <v/>
      </c>
      <c r="I15" s="19" t="s">
        <v>2632</v>
      </c>
      <c r="J15" s="19" t="s">
        <v>1061</v>
      </c>
      <c r="K15" s="19" t="s">
        <v>2678</v>
      </c>
      <c r="L15" s="19" t="s">
        <v>2682</v>
      </c>
      <c r="N15" s="181" t="s">
        <v>2639</v>
      </c>
    </row>
    <row r="16" spans="1:15" x14ac:dyDescent="0.25">
      <c r="A16" s="20" t="s">
        <v>663</v>
      </c>
      <c r="B16" s="11" t="s">
        <v>643</v>
      </c>
      <c r="C16" s="6" t="s">
        <v>659</v>
      </c>
      <c r="D16" s="6" t="s">
        <v>641</v>
      </c>
      <c r="E16" s="6" t="s">
        <v>646</v>
      </c>
      <c r="F16" s="6" t="s">
        <v>81</v>
      </c>
      <c r="G16" s="15" t="str" cm="1">
        <f t="array" ref="G16">MultiMatchPrefix(Table_Data[[#This Row],[D ID]],Table_Mappings[Data ID],0,"",TRUE,";
")</f>
        <v/>
      </c>
      <c r="I16" s="19" t="s">
        <v>2632</v>
      </c>
      <c r="J16" s="19" t="s">
        <v>1061</v>
      </c>
      <c r="K16" s="19" t="s">
        <v>635</v>
      </c>
      <c r="L16" s="19" t="s">
        <v>2655</v>
      </c>
      <c r="N16" s="181" t="s">
        <v>2639</v>
      </c>
    </row>
    <row r="17" spans="1:14" x14ac:dyDescent="0.25">
      <c r="A17" s="20" t="s">
        <v>664</v>
      </c>
      <c r="B17" s="11" t="s">
        <v>643</v>
      </c>
      <c r="C17" s="6" t="s">
        <v>659</v>
      </c>
      <c r="D17" s="6" t="s">
        <v>641</v>
      </c>
      <c r="E17" s="6" t="s">
        <v>665</v>
      </c>
      <c r="F17" s="6" t="s">
        <v>81</v>
      </c>
      <c r="G17" s="15" t="str" cm="1">
        <f t="array" ref="G17">MultiMatchPrefix(Table_Data[[#This Row],[D ID]],Table_Mappings[Data ID],0,"",TRUE,";
")</f>
        <v/>
      </c>
      <c r="I17" s="19" t="s">
        <v>2632</v>
      </c>
      <c r="J17" s="19" t="s">
        <v>1061</v>
      </c>
      <c r="K17" s="19" t="s">
        <v>2666</v>
      </c>
      <c r="L17" s="19" t="s">
        <v>2667</v>
      </c>
      <c r="N17" s="181" t="s">
        <v>2639</v>
      </c>
    </row>
    <row r="18" spans="1:14" x14ac:dyDescent="0.25">
      <c r="A18" s="20" t="s">
        <v>666</v>
      </c>
      <c r="B18" s="11" t="s">
        <v>640</v>
      </c>
      <c r="C18" s="6" t="s">
        <v>659</v>
      </c>
      <c r="D18" s="6" t="s">
        <v>648</v>
      </c>
      <c r="E18" s="17"/>
      <c r="F18" s="6" t="s">
        <v>81</v>
      </c>
      <c r="G18" s="15" t="str" cm="1">
        <f t="array" ref="G18">MultiMatchPrefix(Table_Data[[#This Row],[D ID]],Table_Mappings[Data ID],0,"",TRUE,";
")</f>
        <v/>
      </c>
      <c r="I18" s="19" t="s">
        <v>2632</v>
      </c>
      <c r="J18" s="19" t="s">
        <v>2759</v>
      </c>
      <c r="K18" s="19" t="s">
        <v>1216</v>
      </c>
      <c r="L18" s="19" t="s">
        <v>2614</v>
      </c>
      <c r="N18" s="181" t="s">
        <v>2639</v>
      </c>
    </row>
    <row r="19" spans="1:14" x14ac:dyDescent="0.25">
      <c r="A19" s="20" t="s">
        <v>667</v>
      </c>
      <c r="B19" s="11" t="s">
        <v>643</v>
      </c>
      <c r="C19" s="6" t="s">
        <v>659</v>
      </c>
      <c r="D19" s="6" t="s">
        <v>648</v>
      </c>
      <c r="E19" s="6" t="s">
        <v>650</v>
      </c>
      <c r="F19" s="6" t="s">
        <v>81</v>
      </c>
      <c r="G19" s="15" t="str" cm="1">
        <f t="array" ref="G19">MultiMatchPrefix(Table_Data[[#This Row],[D ID]],Table_Mappings[Data ID],0,"",TRUE,";
")</f>
        <v/>
      </c>
      <c r="I19" s="19" t="s">
        <v>2632</v>
      </c>
      <c r="J19" s="19" t="s">
        <v>2759</v>
      </c>
      <c r="K19" s="19" t="s">
        <v>650</v>
      </c>
      <c r="L19" s="19" t="s">
        <v>2654</v>
      </c>
      <c r="N19" s="181" t="s">
        <v>2639</v>
      </c>
    </row>
    <row r="20" spans="1:14" x14ac:dyDescent="0.25">
      <c r="A20" s="20" t="s">
        <v>668</v>
      </c>
      <c r="B20" s="11" t="s">
        <v>643</v>
      </c>
      <c r="C20" s="6" t="s">
        <v>659</v>
      </c>
      <c r="D20" s="6" t="s">
        <v>648</v>
      </c>
      <c r="E20" s="6" t="s">
        <v>652</v>
      </c>
      <c r="F20" s="6" t="s">
        <v>81</v>
      </c>
      <c r="G20" s="15" t="str" cm="1">
        <f t="array" ref="G20">MultiMatchPrefix(Table_Data[[#This Row],[D ID]],Table_Mappings[Data ID],0,"",TRUE,";
")</f>
        <v/>
      </c>
      <c r="I20" s="19" t="s">
        <v>2632</v>
      </c>
      <c r="J20" s="19" t="s">
        <v>2759</v>
      </c>
      <c r="K20" s="19" t="s">
        <v>2653</v>
      </c>
      <c r="L20" s="19" t="s">
        <v>2656</v>
      </c>
      <c r="N20" s="181" t="s">
        <v>2639</v>
      </c>
    </row>
    <row r="21" spans="1:14" x14ac:dyDescent="0.25">
      <c r="A21" s="20" t="s">
        <v>669</v>
      </c>
      <c r="B21" s="11" t="s">
        <v>640</v>
      </c>
      <c r="C21" s="6" t="s">
        <v>659</v>
      </c>
      <c r="D21" s="6" t="s">
        <v>670</v>
      </c>
      <c r="E21" s="17"/>
      <c r="F21" s="6" t="s">
        <v>81</v>
      </c>
      <c r="G21" s="15" t="str" cm="1">
        <f t="array" ref="G21">MultiMatchPrefix(Table_Data[[#This Row],[D ID]],Table_Mappings[Data ID],0,"",TRUE,";
")</f>
        <v/>
      </c>
      <c r="I21" s="19" t="s">
        <v>2632</v>
      </c>
      <c r="J21" s="19" t="s">
        <v>2759</v>
      </c>
      <c r="K21" s="19" t="s">
        <v>1216</v>
      </c>
      <c r="L21" s="19" t="s">
        <v>2614</v>
      </c>
      <c r="N21" s="181" t="s">
        <v>2639</v>
      </c>
    </row>
    <row r="22" spans="1:14" x14ac:dyDescent="0.25">
      <c r="A22" s="20" t="s">
        <v>671</v>
      </c>
      <c r="B22" s="11" t="s">
        <v>643</v>
      </c>
      <c r="C22" s="6" t="s">
        <v>659</v>
      </c>
      <c r="D22" s="6" t="s">
        <v>670</v>
      </c>
      <c r="E22" s="6" t="s">
        <v>656</v>
      </c>
      <c r="F22" s="6" t="s">
        <v>81</v>
      </c>
      <c r="G22" s="15" t="str" cm="1">
        <f t="array" ref="G22">MultiMatchPrefix(Table_Data[[#This Row],[D ID]],Table_Mappings[Data ID],0,"",TRUE,";
")</f>
        <v/>
      </c>
      <c r="I22" s="19" t="s">
        <v>2632</v>
      </c>
      <c r="J22" s="19" t="s">
        <v>2759</v>
      </c>
      <c r="K22" s="19" t="s">
        <v>635</v>
      </c>
      <c r="L22" s="19" t="s">
        <v>2655</v>
      </c>
      <c r="N22" s="181" t="s">
        <v>2639</v>
      </c>
    </row>
    <row r="23" spans="1:14" x14ac:dyDescent="0.25">
      <c r="A23" s="20" t="s">
        <v>672</v>
      </c>
      <c r="B23" s="11" t="s">
        <v>643</v>
      </c>
      <c r="C23" s="6" t="s">
        <v>659</v>
      </c>
      <c r="D23" s="6" t="s">
        <v>670</v>
      </c>
      <c r="E23" s="6" t="s">
        <v>658</v>
      </c>
      <c r="F23" s="6" t="s">
        <v>81</v>
      </c>
      <c r="G23" s="15" t="str" cm="1">
        <f t="array" ref="G23">MultiMatchPrefix(Table_Data[[#This Row],[D ID]],Table_Mappings[Data ID],0,"",TRUE,";
")</f>
        <v/>
      </c>
      <c r="I23" s="19" t="s">
        <v>2632</v>
      </c>
      <c r="J23" s="19" t="s">
        <v>2759</v>
      </c>
      <c r="K23" s="19" t="s">
        <v>2661</v>
      </c>
      <c r="L23" s="19" t="s">
        <v>2662</v>
      </c>
      <c r="N23" s="181" t="s">
        <v>2639</v>
      </c>
    </row>
    <row r="24" spans="1:14" ht="50" x14ac:dyDescent="0.25">
      <c r="A24" s="20" t="s">
        <v>359</v>
      </c>
      <c r="B24" s="11" t="s">
        <v>79</v>
      </c>
      <c r="C24" s="6" t="s">
        <v>673</v>
      </c>
      <c r="D24" s="17"/>
      <c r="E24" s="17"/>
      <c r="F24" s="6" t="s">
        <v>674</v>
      </c>
      <c r="G24" s="15" t="str" cm="1">
        <f t="array" ref="G24">MultiMatchPrefix(Table_Data[[#This Row],[D ID]],Table_Mappings[Data ID],0,"",TRUE,";
")</f>
        <v>01.03 Order and Procurement Planning ;
03.01 Warehousing planning;
04.01 Transport planning;
04.03 Outbound transport of goods</v>
      </c>
      <c r="I24" s="19" t="s">
        <v>2668</v>
      </c>
    </row>
    <row r="25" spans="1:14" x14ac:dyDescent="0.25">
      <c r="A25" s="20" t="s">
        <v>675</v>
      </c>
      <c r="B25" s="11" t="s">
        <v>640</v>
      </c>
      <c r="C25" s="6" t="s">
        <v>673</v>
      </c>
      <c r="D25" s="6" t="s">
        <v>676</v>
      </c>
      <c r="E25" s="17"/>
      <c r="F25" s="6" t="s">
        <v>81</v>
      </c>
      <c r="G25" s="15" t="str" cm="1">
        <f t="array" ref="G25">MultiMatchPrefix(Table_Data[[#This Row],[D ID]],Table_Mappings[Data ID],0,"",TRUE,";
")</f>
        <v/>
      </c>
      <c r="I25" s="19" t="s">
        <v>2632</v>
      </c>
      <c r="J25" s="19" t="s">
        <v>2759</v>
      </c>
    </row>
    <row r="26" spans="1:14" x14ac:dyDescent="0.25">
      <c r="A26" s="20" t="s">
        <v>677</v>
      </c>
      <c r="B26" s="11" t="s">
        <v>643</v>
      </c>
      <c r="C26" s="6" t="s">
        <v>673</v>
      </c>
      <c r="D26" s="6" t="s">
        <v>676</v>
      </c>
      <c r="E26" s="6" t="s">
        <v>644</v>
      </c>
      <c r="F26" s="6" t="s">
        <v>81</v>
      </c>
      <c r="G26" s="15" t="str" cm="1">
        <f t="array" ref="G26">MultiMatchPrefix(Table_Data[[#This Row],[D ID]],Table_Mappings[Data ID],0,"",TRUE,";
")</f>
        <v/>
      </c>
      <c r="I26" s="19" t="s">
        <v>2632</v>
      </c>
      <c r="J26" s="19" t="s">
        <v>1061</v>
      </c>
      <c r="K26" s="19" t="s">
        <v>2678</v>
      </c>
      <c r="L26" s="19" t="s">
        <v>2682</v>
      </c>
      <c r="N26" s="181" t="s">
        <v>2639</v>
      </c>
    </row>
    <row r="27" spans="1:14" x14ac:dyDescent="0.25">
      <c r="A27" s="20" t="s">
        <v>678</v>
      </c>
      <c r="B27" s="11" t="s">
        <v>643</v>
      </c>
      <c r="C27" s="6" t="s">
        <v>673</v>
      </c>
      <c r="D27" s="6" t="s">
        <v>676</v>
      </c>
      <c r="E27" s="6" t="s">
        <v>679</v>
      </c>
      <c r="F27" s="6" t="s">
        <v>81</v>
      </c>
      <c r="G27" s="15" t="str" cm="1">
        <f t="array" ref="G27">MultiMatchPrefix(Table_Data[[#This Row],[D ID]],Table_Mappings[Data ID],0,"",TRUE,";
")</f>
        <v/>
      </c>
      <c r="I27" s="19" t="s">
        <v>2632</v>
      </c>
      <c r="J27" s="19" t="s">
        <v>1061</v>
      </c>
      <c r="K27" s="19" t="s">
        <v>2677</v>
      </c>
      <c r="L27" s="19" t="s">
        <v>2681</v>
      </c>
      <c r="N27" s="181" t="s">
        <v>2639</v>
      </c>
    </row>
    <row r="28" spans="1:14" x14ac:dyDescent="0.25">
      <c r="A28" s="20" t="s">
        <v>680</v>
      </c>
      <c r="B28" s="11" t="s">
        <v>643</v>
      </c>
      <c r="C28" s="6" t="s">
        <v>673</v>
      </c>
      <c r="D28" s="6" t="s">
        <v>676</v>
      </c>
      <c r="E28" s="6" t="s">
        <v>650</v>
      </c>
      <c r="F28" s="6" t="s">
        <v>81</v>
      </c>
      <c r="G28" s="15" t="str" cm="1">
        <f t="array" ref="G28">MultiMatchPrefix(Table_Data[[#This Row],[D ID]],Table_Mappings[Data ID],0,"",TRUE,";
")</f>
        <v/>
      </c>
      <c r="I28" s="19" t="s">
        <v>2632</v>
      </c>
      <c r="J28" s="19" t="s">
        <v>1061</v>
      </c>
      <c r="K28" s="19" t="s">
        <v>1737</v>
      </c>
      <c r="L28" s="19" t="s">
        <v>2753</v>
      </c>
      <c r="N28" s="181" t="s">
        <v>2639</v>
      </c>
    </row>
    <row r="29" spans="1:14" x14ac:dyDescent="0.25">
      <c r="A29" s="20" t="s">
        <v>681</v>
      </c>
      <c r="B29" s="11" t="s">
        <v>640</v>
      </c>
      <c r="C29" s="6" t="s">
        <v>673</v>
      </c>
      <c r="D29" s="6" t="s">
        <v>682</v>
      </c>
      <c r="E29" s="17"/>
      <c r="F29" s="6" t="s">
        <v>81</v>
      </c>
      <c r="G29" s="15" t="str" cm="1">
        <f t="array" ref="G29">MultiMatchPrefix(Table_Data[[#This Row],[D ID]],Table_Mappings[Data ID],0,"",TRUE,";
")</f>
        <v/>
      </c>
    </row>
    <row r="30" spans="1:14" x14ac:dyDescent="0.25">
      <c r="A30" s="20" t="s">
        <v>683</v>
      </c>
      <c r="B30" s="11" t="s">
        <v>643</v>
      </c>
      <c r="C30" s="6" t="s">
        <v>673</v>
      </c>
      <c r="D30" s="6" t="s">
        <v>682</v>
      </c>
      <c r="E30" s="6" t="s">
        <v>684</v>
      </c>
      <c r="F30" s="6" t="s">
        <v>81</v>
      </c>
      <c r="G30" s="15" t="str" cm="1">
        <f t="array" ref="G30">MultiMatchPrefix(Table_Data[[#This Row],[D ID]],Table_Mappings[Data ID],0,"",TRUE,";
")</f>
        <v/>
      </c>
    </row>
    <row r="31" spans="1:14" x14ac:dyDescent="0.25">
      <c r="A31" s="20" t="s">
        <v>685</v>
      </c>
      <c r="B31" s="11" t="s">
        <v>643</v>
      </c>
      <c r="C31" s="6" t="s">
        <v>673</v>
      </c>
      <c r="D31" s="6" t="s">
        <v>682</v>
      </c>
      <c r="E31" s="6" t="s">
        <v>652</v>
      </c>
      <c r="F31" s="6" t="s">
        <v>81</v>
      </c>
      <c r="G31" s="15" t="str" cm="1">
        <f t="array" ref="G31">MultiMatchPrefix(Table_Data[[#This Row],[D ID]],Table_Mappings[Data ID],0,"",TRUE,";
")</f>
        <v/>
      </c>
    </row>
    <row r="32" spans="1:14" x14ac:dyDescent="0.25">
      <c r="A32" s="20" t="s">
        <v>686</v>
      </c>
      <c r="B32" s="11" t="s">
        <v>643</v>
      </c>
      <c r="C32" s="6" t="s">
        <v>673</v>
      </c>
      <c r="D32" s="6" t="s">
        <v>682</v>
      </c>
      <c r="E32" s="6" t="s">
        <v>687</v>
      </c>
      <c r="F32" s="6" t="s">
        <v>81</v>
      </c>
      <c r="G32" s="15" t="str" cm="1">
        <f t="array" ref="G32">MultiMatchPrefix(Table_Data[[#This Row],[D ID]],Table_Mappings[Data ID],0,"",TRUE,";
")</f>
        <v/>
      </c>
    </row>
    <row r="33" spans="1:14" x14ac:dyDescent="0.25">
      <c r="A33" s="20" t="s">
        <v>688</v>
      </c>
      <c r="B33" s="11" t="s">
        <v>640</v>
      </c>
      <c r="C33" s="6" t="s">
        <v>673</v>
      </c>
      <c r="D33" s="6" t="s">
        <v>689</v>
      </c>
      <c r="E33" s="17"/>
      <c r="F33" s="6" t="s">
        <v>81</v>
      </c>
      <c r="G33" s="15" t="str" cm="1">
        <f t="array" ref="G33">MultiMatchPrefix(Table_Data[[#This Row],[D ID]],Table_Mappings[Data ID],0,"",TRUE,";
")</f>
        <v/>
      </c>
      <c r="I33" s="19" t="s">
        <v>2632</v>
      </c>
      <c r="J33" s="19" t="s">
        <v>715</v>
      </c>
      <c r="K33" s="19" t="s">
        <v>715</v>
      </c>
      <c r="L33" s="19" t="s">
        <v>2612</v>
      </c>
      <c r="N33" s="181">
        <v>100</v>
      </c>
    </row>
    <row r="34" spans="1:14" ht="13" x14ac:dyDescent="0.25">
      <c r="A34" s="20" t="s">
        <v>690</v>
      </c>
      <c r="B34" s="11" t="s">
        <v>643</v>
      </c>
      <c r="C34" s="153" t="s">
        <v>673</v>
      </c>
      <c r="D34" s="153" t="s">
        <v>689</v>
      </c>
      <c r="E34" s="153" t="s">
        <v>691</v>
      </c>
      <c r="F34" s="6" t="s">
        <v>692</v>
      </c>
      <c r="G34" s="15" t="str" cm="1">
        <f t="array" ref="G34">MultiMatchPrefix(Table_Data[[#This Row],[D ID]],Table_Mappings[Data ID],0,"",TRUE,";
")</f>
        <v/>
      </c>
      <c r="I34" s="19" t="s">
        <v>2632</v>
      </c>
      <c r="J34" s="19" t="s">
        <v>715</v>
      </c>
      <c r="K34" s="19" t="s">
        <v>2669</v>
      </c>
      <c r="L34" s="19" t="s">
        <v>2614</v>
      </c>
      <c r="N34" s="181">
        <v>100</v>
      </c>
    </row>
    <row r="35" spans="1:14" ht="13" x14ac:dyDescent="0.25">
      <c r="A35" s="20" t="s">
        <v>693</v>
      </c>
      <c r="B35" s="11" t="s">
        <v>643</v>
      </c>
      <c r="C35" s="153" t="s">
        <v>673</v>
      </c>
      <c r="D35" s="153" t="s">
        <v>689</v>
      </c>
      <c r="E35" s="153" t="s">
        <v>694</v>
      </c>
      <c r="F35" s="6" t="s">
        <v>692</v>
      </c>
      <c r="G35" s="15" t="str" cm="1">
        <f t="array" ref="G35">MultiMatchPrefix(Table_Data[[#This Row],[D ID]],Table_Mappings[Data ID],0,"",TRUE,";
")</f>
        <v/>
      </c>
      <c r="I35" s="19" t="s">
        <v>2632</v>
      </c>
      <c r="J35" s="19" t="s">
        <v>715</v>
      </c>
      <c r="M35" s="19" t="s">
        <v>2673</v>
      </c>
      <c r="N35" s="181">
        <v>100</v>
      </c>
    </row>
    <row r="36" spans="1:14" x14ac:dyDescent="0.25">
      <c r="A36" s="20" t="s">
        <v>695</v>
      </c>
      <c r="B36" s="11" t="s">
        <v>640</v>
      </c>
      <c r="C36" s="6" t="s">
        <v>673</v>
      </c>
      <c r="D36" s="6" t="s">
        <v>696</v>
      </c>
      <c r="E36" s="17"/>
      <c r="F36" s="6" t="s">
        <v>81</v>
      </c>
      <c r="G36" s="15" t="str" cm="1">
        <f t="array" ref="G36">MultiMatchPrefix(Table_Data[[#This Row],[D ID]],Table_Mappings[Data ID],0,"",TRUE,";
")</f>
        <v/>
      </c>
      <c r="I36" s="19" t="s">
        <v>2632</v>
      </c>
      <c r="J36" s="19" t="s">
        <v>715</v>
      </c>
      <c r="K36" s="19" t="s">
        <v>715</v>
      </c>
      <c r="L36" s="19" t="s">
        <v>2612</v>
      </c>
      <c r="N36" s="181">
        <v>100</v>
      </c>
    </row>
    <row r="37" spans="1:14" ht="13" x14ac:dyDescent="0.25">
      <c r="A37" s="20" t="s">
        <v>697</v>
      </c>
      <c r="B37" s="11" t="s">
        <v>643</v>
      </c>
      <c r="C37" s="153" t="s">
        <v>673</v>
      </c>
      <c r="D37" s="153" t="s">
        <v>696</v>
      </c>
      <c r="E37" s="153" t="s">
        <v>698</v>
      </c>
      <c r="F37" s="6" t="s">
        <v>692</v>
      </c>
      <c r="G37" s="15" t="str" cm="1">
        <f t="array" ref="G37">MultiMatchPrefix(Table_Data[[#This Row],[D ID]],Table_Mappings[Data ID],0,"",TRUE,";
")</f>
        <v/>
      </c>
      <c r="I37" s="19" t="s">
        <v>2632</v>
      </c>
      <c r="J37" s="19" t="s">
        <v>715</v>
      </c>
      <c r="K37" s="19" t="s">
        <v>2669</v>
      </c>
      <c r="L37" s="19" t="s">
        <v>2614</v>
      </c>
      <c r="N37" s="181">
        <v>100</v>
      </c>
    </row>
    <row r="38" spans="1:14" ht="13" x14ac:dyDescent="0.25">
      <c r="A38" s="20" t="s">
        <v>699</v>
      </c>
      <c r="B38" s="11" t="s">
        <v>643</v>
      </c>
      <c r="C38" s="153" t="s">
        <v>673</v>
      </c>
      <c r="D38" s="153" t="s">
        <v>696</v>
      </c>
      <c r="E38" s="153" t="s">
        <v>694</v>
      </c>
      <c r="F38" s="6" t="s">
        <v>692</v>
      </c>
      <c r="G38" s="15" t="str" cm="1">
        <f t="array" ref="G38">MultiMatchPrefix(Table_Data[[#This Row],[D ID]],Table_Mappings[Data ID],0,"",TRUE,";
")</f>
        <v/>
      </c>
      <c r="I38" s="19" t="s">
        <v>2632</v>
      </c>
      <c r="J38" s="19" t="s">
        <v>715</v>
      </c>
      <c r="M38" s="19" t="s">
        <v>2673</v>
      </c>
      <c r="N38" s="181">
        <v>100</v>
      </c>
    </row>
    <row r="39" spans="1:14" ht="37.5" x14ac:dyDescent="0.25">
      <c r="A39" s="20" t="s">
        <v>361</v>
      </c>
      <c r="B39" s="11" t="s">
        <v>79</v>
      </c>
      <c r="C39" s="6" t="s">
        <v>700</v>
      </c>
      <c r="D39" s="17"/>
      <c r="E39" s="17"/>
      <c r="F39" s="6" t="s">
        <v>701</v>
      </c>
      <c r="G39" s="15" t="str" cm="1">
        <f t="array" ref="G39">MultiMatchPrefix(Table_Data[[#This Row],[D ID]],Table_Mappings[Data ID],0,"",TRUE,";
")</f>
        <v xml:space="preserve">01.03 Order and Procurement Planning </v>
      </c>
      <c r="I39" s="19" t="s">
        <v>2671</v>
      </c>
      <c r="J39" s="19" t="s">
        <v>2672</v>
      </c>
    </row>
    <row r="40" spans="1:14" x14ac:dyDescent="0.25">
      <c r="A40" s="20" t="s">
        <v>702</v>
      </c>
      <c r="B40" s="11" t="s">
        <v>640</v>
      </c>
      <c r="C40" s="6" t="s">
        <v>700</v>
      </c>
      <c r="D40" s="6" t="s">
        <v>703</v>
      </c>
      <c r="E40" s="17"/>
      <c r="F40" s="6" t="s">
        <v>81</v>
      </c>
      <c r="G40" s="15" t="str" cm="1">
        <f t="array" ref="G40">MultiMatchPrefix(Table_Data[[#This Row],[D ID]],Table_Mappings[Data ID],0,"",TRUE,";
")</f>
        <v/>
      </c>
    </row>
    <row r="41" spans="1:14" ht="13" x14ac:dyDescent="0.25">
      <c r="A41" s="20" t="s">
        <v>704</v>
      </c>
      <c r="B41" s="11" t="s">
        <v>643</v>
      </c>
      <c r="C41" s="153" t="s">
        <v>700</v>
      </c>
      <c r="D41" s="153" t="s">
        <v>703</v>
      </c>
      <c r="E41" s="153" t="s">
        <v>694</v>
      </c>
      <c r="F41" s="6" t="s">
        <v>692</v>
      </c>
      <c r="G41" s="15" t="str" cm="1">
        <f t="array" ref="G41">MultiMatchPrefix(Table_Data[[#This Row],[D ID]],Table_Mappings[Data ID],0,"",TRUE,";
")</f>
        <v/>
      </c>
    </row>
    <row r="42" spans="1:14" x14ac:dyDescent="0.25">
      <c r="A42" s="20" t="s">
        <v>705</v>
      </c>
      <c r="B42" s="11" t="s">
        <v>640</v>
      </c>
      <c r="C42" s="6" t="s">
        <v>700</v>
      </c>
      <c r="D42" s="6" t="s">
        <v>706</v>
      </c>
      <c r="E42" s="17"/>
      <c r="F42" s="6" t="s">
        <v>81</v>
      </c>
      <c r="G42" s="15" t="str" cm="1">
        <f t="array" ref="G42">MultiMatchPrefix(Table_Data[[#This Row],[D ID]],Table_Mappings[Data ID],0,"",TRUE,";
")</f>
        <v/>
      </c>
    </row>
    <row r="43" spans="1:14" x14ac:dyDescent="0.25">
      <c r="A43" s="20" t="s">
        <v>707</v>
      </c>
      <c r="B43" s="11" t="s">
        <v>643</v>
      </c>
      <c r="C43" s="6" t="s">
        <v>700</v>
      </c>
      <c r="D43" s="6" t="s">
        <v>706</v>
      </c>
      <c r="E43" s="6" t="s">
        <v>708</v>
      </c>
      <c r="F43" s="6" t="s">
        <v>81</v>
      </c>
      <c r="G43" s="15" t="str" cm="1">
        <f t="array" ref="G43">MultiMatchPrefix(Table_Data[[#This Row],[D ID]],Table_Mappings[Data ID],0,"",TRUE,";
")</f>
        <v/>
      </c>
    </row>
    <row r="44" spans="1:14" x14ac:dyDescent="0.25">
      <c r="A44" s="20" t="s">
        <v>709</v>
      </c>
      <c r="B44" s="11" t="s">
        <v>643</v>
      </c>
      <c r="C44" s="6" t="s">
        <v>700</v>
      </c>
      <c r="D44" s="6" t="s">
        <v>706</v>
      </c>
      <c r="E44" s="6" t="s">
        <v>710</v>
      </c>
      <c r="F44" s="6" t="s">
        <v>81</v>
      </c>
      <c r="G44" s="15" t="str" cm="1">
        <f t="array" ref="G44">MultiMatchPrefix(Table_Data[[#This Row],[D ID]],Table_Mappings[Data ID],0,"",TRUE,";
")</f>
        <v/>
      </c>
    </row>
    <row r="45" spans="1:14" x14ac:dyDescent="0.25">
      <c r="A45" s="20" t="s">
        <v>711</v>
      </c>
      <c r="B45" s="11" t="s">
        <v>640</v>
      </c>
      <c r="C45" s="6" t="s">
        <v>700</v>
      </c>
      <c r="D45" s="6" t="s">
        <v>712</v>
      </c>
      <c r="E45" s="17"/>
      <c r="F45" s="6" t="s">
        <v>81</v>
      </c>
      <c r="G45" s="15" t="str" cm="1">
        <f t="array" ref="G45">MultiMatchPrefix(Table_Data[[#This Row],[D ID]],Table_Mappings[Data ID],0,"",TRUE,";
")</f>
        <v/>
      </c>
      <c r="I45" s="19" t="s">
        <v>2632</v>
      </c>
      <c r="J45" s="19" t="s">
        <v>715</v>
      </c>
      <c r="K45" s="19" t="s">
        <v>715</v>
      </c>
      <c r="L45" s="19" t="s">
        <v>2705</v>
      </c>
      <c r="M45" s="19" t="s">
        <v>2673</v>
      </c>
      <c r="N45" s="181">
        <v>100</v>
      </c>
    </row>
    <row r="46" spans="1:14" ht="13" x14ac:dyDescent="0.25">
      <c r="A46" s="20" t="s">
        <v>713</v>
      </c>
      <c r="B46" s="11" t="s">
        <v>643</v>
      </c>
      <c r="C46" s="153" t="s">
        <v>700</v>
      </c>
      <c r="D46" s="153" t="s">
        <v>712</v>
      </c>
      <c r="E46" s="153" t="s">
        <v>694</v>
      </c>
      <c r="F46" s="6" t="s">
        <v>692</v>
      </c>
      <c r="G46" s="15" t="str" cm="1">
        <f t="array" ref="G46">MultiMatchPrefix(Table_Data[[#This Row],[D ID]],Table_Mappings[Data ID],0,"",TRUE,";
")</f>
        <v/>
      </c>
      <c r="I46" s="19" t="s">
        <v>2632</v>
      </c>
      <c r="J46" s="19" t="s">
        <v>715</v>
      </c>
      <c r="K46" s="19" t="s">
        <v>715</v>
      </c>
      <c r="L46" s="19" t="s">
        <v>2705</v>
      </c>
      <c r="M46" s="19" t="s">
        <v>2673</v>
      </c>
      <c r="N46" s="181">
        <v>100</v>
      </c>
    </row>
    <row r="47" spans="1:14" x14ac:dyDescent="0.25">
      <c r="A47" s="20" t="s">
        <v>714</v>
      </c>
      <c r="B47" s="11" t="s">
        <v>640</v>
      </c>
      <c r="C47" s="6" t="s">
        <v>700</v>
      </c>
      <c r="D47" s="6" t="s">
        <v>715</v>
      </c>
      <c r="E47" s="17"/>
      <c r="F47" s="6" t="s">
        <v>81</v>
      </c>
      <c r="G47" s="15" t="str" cm="1">
        <f t="array" ref="G47">MultiMatchPrefix(Table_Data[[#This Row],[D ID]],Table_Mappings[Data ID],0,"",TRUE,";
")</f>
        <v/>
      </c>
      <c r="I47" s="19" t="s">
        <v>2632</v>
      </c>
      <c r="J47" s="19" t="s">
        <v>715</v>
      </c>
      <c r="K47" s="19" t="s">
        <v>715</v>
      </c>
      <c r="L47" s="19" t="s">
        <v>2705</v>
      </c>
      <c r="M47" s="19" t="s">
        <v>2673</v>
      </c>
      <c r="N47" s="181">
        <v>100</v>
      </c>
    </row>
    <row r="48" spans="1:14" ht="13" x14ac:dyDescent="0.25">
      <c r="A48" s="20" t="s">
        <v>716</v>
      </c>
      <c r="B48" s="11" t="s">
        <v>643</v>
      </c>
      <c r="C48" s="153" t="s">
        <v>700</v>
      </c>
      <c r="D48" s="153" t="s">
        <v>715</v>
      </c>
      <c r="E48" s="153" t="s">
        <v>694</v>
      </c>
      <c r="F48" s="6" t="s">
        <v>692</v>
      </c>
      <c r="G48" s="15" t="str" cm="1">
        <f t="array" ref="G48">MultiMatchPrefix(Table_Data[[#This Row],[D ID]],Table_Mappings[Data ID],0,"",TRUE,";
")</f>
        <v/>
      </c>
      <c r="I48" s="19" t="s">
        <v>2632</v>
      </c>
      <c r="J48" s="19" t="s">
        <v>715</v>
      </c>
      <c r="K48" s="19" t="s">
        <v>715</v>
      </c>
      <c r="L48" s="19" t="s">
        <v>2705</v>
      </c>
      <c r="M48" s="19" t="s">
        <v>2673</v>
      </c>
      <c r="N48" s="181">
        <v>100</v>
      </c>
    </row>
    <row r="49" spans="1:14" ht="100" x14ac:dyDescent="0.25">
      <c r="A49" s="20" t="s">
        <v>365</v>
      </c>
      <c r="B49" s="11" t="s">
        <v>79</v>
      </c>
      <c r="C49" s="6" t="s">
        <v>717</v>
      </c>
      <c r="D49" s="17"/>
      <c r="E49" s="17"/>
      <c r="F49" s="6" t="s">
        <v>718</v>
      </c>
      <c r="G49" s="15" t="str" cm="1">
        <f t="array" ref="G49">MultiMatchPrefix(Table_Data[[#This Row],[D ID]],Table_Mappings[Data ID],0,"",TRUE,";
")</f>
        <v>02.01 Procurement planning of goods or kits;
02.02 Markets assessment of goods or kits ;
02.04 Procurement derogation validation ;
02.05 Purchase Order management for goods or kits;
02.08 Procurement planning of services or works;
02.09 Markets assessment of services or works ;
02.11 Procurement derogation validation ;
02.12 Purchase Order management for services or works</v>
      </c>
      <c r="I49" s="19" t="s">
        <v>2632</v>
      </c>
      <c r="J49" s="19" t="s">
        <v>2633</v>
      </c>
    </row>
    <row r="50" spans="1:14" ht="37.5" x14ac:dyDescent="0.25">
      <c r="A50" s="20" t="s">
        <v>719</v>
      </c>
      <c r="B50" s="11" t="s">
        <v>640</v>
      </c>
      <c r="C50" s="6" t="s">
        <v>717</v>
      </c>
      <c r="D50" s="6" t="s">
        <v>55</v>
      </c>
      <c r="E50" s="17"/>
      <c r="F50" s="6" t="s">
        <v>81</v>
      </c>
      <c r="G50" s="15" t="str" cm="1">
        <f t="array" ref="G50">MultiMatchPrefix(Table_Data[[#This Row],[D ID]],Table_Mappings[Data ID],0,"",TRUE,";
")</f>
        <v/>
      </c>
      <c r="I50" s="19" t="s">
        <v>2632</v>
      </c>
      <c r="J50" s="19" t="s">
        <v>2633</v>
      </c>
      <c r="M50" s="19" t="s">
        <v>2657</v>
      </c>
    </row>
    <row r="51" spans="1:14" ht="25" x14ac:dyDescent="0.25">
      <c r="A51" s="20" t="s">
        <v>720</v>
      </c>
      <c r="B51" s="11" t="s">
        <v>643</v>
      </c>
      <c r="C51" s="6" t="s">
        <v>717</v>
      </c>
      <c r="D51" s="6" t="s">
        <v>55</v>
      </c>
      <c r="E51" s="6" t="s">
        <v>721</v>
      </c>
      <c r="F51" s="6" t="s">
        <v>81</v>
      </c>
      <c r="G51" s="15" t="str" cm="1">
        <f t="array" ref="G51">MultiMatchPrefix(Table_Data[[#This Row],[D ID]],Table_Mappings[Data ID],0,"",TRUE,";
")</f>
        <v/>
      </c>
      <c r="I51" s="19" t="s">
        <v>2632</v>
      </c>
      <c r="J51" s="19" t="s">
        <v>2607</v>
      </c>
      <c r="K51" s="19" t="s">
        <v>2640</v>
      </c>
      <c r="L51" s="19" t="s">
        <v>2641</v>
      </c>
      <c r="M51" s="19" t="s">
        <v>2642</v>
      </c>
      <c r="N51" s="181" t="s">
        <v>2639</v>
      </c>
    </row>
    <row r="52" spans="1:14" x14ac:dyDescent="0.25">
      <c r="A52" s="20" t="s">
        <v>722</v>
      </c>
      <c r="B52" s="11" t="s">
        <v>643</v>
      </c>
      <c r="C52" s="6" t="s">
        <v>717</v>
      </c>
      <c r="D52" s="6" t="s">
        <v>55</v>
      </c>
      <c r="E52" s="6" t="s">
        <v>723</v>
      </c>
      <c r="F52" s="6" t="s">
        <v>81</v>
      </c>
      <c r="G52" s="15" t="str" cm="1">
        <f t="array" ref="G52">MultiMatchPrefix(Table_Data[[#This Row],[D ID]],Table_Mappings[Data ID],0,"",TRUE,";
")</f>
        <v/>
      </c>
      <c r="I52" s="19" t="s">
        <v>2632</v>
      </c>
      <c r="J52" s="19" t="s">
        <v>2607</v>
      </c>
      <c r="K52" s="19" t="s">
        <v>1216</v>
      </c>
      <c r="L52" s="19" t="s">
        <v>2614</v>
      </c>
      <c r="N52" s="181">
        <v>100</v>
      </c>
    </row>
    <row r="53" spans="1:14" ht="25" x14ac:dyDescent="0.25">
      <c r="A53" s="20" t="s">
        <v>724</v>
      </c>
      <c r="B53" s="11" t="s">
        <v>643</v>
      </c>
      <c r="C53" s="6" t="s">
        <v>717</v>
      </c>
      <c r="D53" s="6" t="s">
        <v>55</v>
      </c>
      <c r="E53" s="6" t="s">
        <v>725</v>
      </c>
      <c r="F53" s="6" t="s">
        <v>81</v>
      </c>
      <c r="G53" s="15" t="str" cm="1">
        <f t="array" ref="G53">MultiMatchPrefix(Table_Data[[#This Row],[D ID]],Table_Mappings[Data ID],0,"",TRUE,";
")</f>
        <v/>
      </c>
      <c r="I53" s="182" t="s">
        <v>2632</v>
      </c>
      <c r="J53" s="182" t="s">
        <v>2607</v>
      </c>
      <c r="K53" s="182" t="s">
        <v>725</v>
      </c>
      <c r="L53" s="182" t="s">
        <v>2635</v>
      </c>
      <c r="M53" s="182" t="s">
        <v>2636</v>
      </c>
      <c r="N53" s="183" t="s">
        <v>2639</v>
      </c>
    </row>
    <row r="54" spans="1:14" x14ac:dyDescent="0.25">
      <c r="A54" s="20" t="s">
        <v>726</v>
      </c>
      <c r="B54" s="11" t="s">
        <v>643</v>
      </c>
      <c r="C54" s="6" t="s">
        <v>717</v>
      </c>
      <c r="D54" s="6" t="s">
        <v>55</v>
      </c>
      <c r="E54" s="6" t="s">
        <v>727</v>
      </c>
      <c r="F54" s="6" t="s">
        <v>728</v>
      </c>
      <c r="G54" s="15" t="str" cm="1">
        <f t="array" ref="G54">MultiMatchPrefix(Table_Data[[#This Row],[D ID]],Table_Mappings[Data ID],0,"",TRUE,";
")</f>
        <v/>
      </c>
      <c r="I54" s="182" t="s">
        <v>2632</v>
      </c>
      <c r="J54" s="182" t="s">
        <v>2607</v>
      </c>
      <c r="K54" s="182" t="s">
        <v>2637</v>
      </c>
      <c r="L54" s="182" t="s">
        <v>2638</v>
      </c>
      <c r="M54" s="182" t="s">
        <v>2643</v>
      </c>
      <c r="N54" s="182" t="s">
        <v>2639</v>
      </c>
    </row>
    <row r="55" spans="1:14" x14ac:dyDescent="0.25">
      <c r="A55" s="20" t="s">
        <v>729</v>
      </c>
      <c r="B55" s="11" t="s">
        <v>643</v>
      </c>
      <c r="C55" s="6" t="s">
        <v>717</v>
      </c>
      <c r="D55" s="6" t="s">
        <v>55</v>
      </c>
      <c r="E55" s="6" t="s">
        <v>730</v>
      </c>
      <c r="F55" s="6" t="s">
        <v>731</v>
      </c>
      <c r="G55" s="15" t="str" cm="1">
        <f t="array" ref="G55">MultiMatchPrefix(Table_Data[[#This Row],[D ID]],Table_Mappings[Data ID],0,"",TRUE,";
")</f>
        <v/>
      </c>
    </row>
    <row r="56" spans="1:14" x14ac:dyDescent="0.25">
      <c r="A56" s="20" t="s">
        <v>732</v>
      </c>
      <c r="B56" s="11" t="s">
        <v>640</v>
      </c>
      <c r="C56" s="6" t="s">
        <v>717</v>
      </c>
      <c r="D56" s="6" t="s">
        <v>733</v>
      </c>
      <c r="E56" s="17"/>
      <c r="F56" s="6" t="s">
        <v>81</v>
      </c>
      <c r="G56" s="15" t="str" cm="1">
        <f t="array" ref="G56">MultiMatchPrefix(Table_Data[[#This Row],[D ID]],Table_Mappings[Data ID],0,"",TRUE,";
")</f>
        <v/>
      </c>
      <c r="I56" s="19" t="s">
        <v>2632</v>
      </c>
      <c r="J56" s="19" t="s">
        <v>715</v>
      </c>
      <c r="K56" s="19" t="s">
        <v>715</v>
      </c>
      <c r="L56" s="19" t="s">
        <v>2612</v>
      </c>
      <c r="N56" s="181">
        <v>100</v>
      </c>
    </row>
    <row r="57" spans="1:14" x14ac:dyDescent="0.25">
      <c r="A57" s="20" t="s">
        <v>734</v>
      </c>
      <c r="B57" s="11" t="s">
        <v>643</v>
      </c>
      <c r="C57" s="6" t="s">
        <v>717</v>
      </c>
      <c r="D57" s="6" t="s">
        <v>733</v>
      </c>
      <c r="E57" s="6" t="s">
        <v>735</v>
      </c>
      <c r="F57" s="6" t="s">
        <v>736</v>
      </c>
      <c r="G57" s="15" t="str" cm="1">
        <f t="array" ref="G57">MultiMatchPrefix(Table_Data[[#This Row],[D ID]],Table_Mappings[Data ID],0,"",TRUE,";
")</f>
        <v/>
      </c>
      <c r="I57" s="19" t="s">
        <v>2632</v>
      </c>
      <c r="J57" s="19" t="s">
        <v>715</v>
      </c>
      <c r="K57" s="19" t="s">
        <v>715</v>
      </c>
      <c r="L57" s="19" t="s">
        <v>2612</v>
      </c>
      <c r="N57" s="181">
        <v>100</v>
      </c>
    </row>
    <row r="58" spans="1:14" x14ac:dyDescent="0.25">
      <c r="A58" s="20" t="s">
        <v>737</v>
      </c>
      <c r="B58" s="11" t="s">
        <v>643</v>
      </c>
      <c r="C58" s="6" t="s">
        <v>717</v>
      </c>
      <c r="D58" s="6" t="s">
        <v>733</v>
      </c>
      <c r="E58" s="6" t="s">
        <v>738</v>
      </c>
      <c r="F58" s="6" t="s">
        <v>739</v>
      </c>
      <c r="G58" s="15" t="str" cm="1">
        <f t="array" ref="G58">MultiMatchPrefix(Table_Data[[#This Row],[D ID]],Table_Mappings[Data ID],0,"",TRUE,";
")</f>
        <v/>
      </c>
      <c r="I58" s="19" t="s">
        <v>2632</v>
      </c>
      <c r="J58" s="19" t="s">
        <v>715</v>
      </c>
      <c r="K58" s="19" t="s">
        <v>2613</v>
      </c>
      <c r="L58" s="19" t="s">
        <v>2614</v>
      </c>
      <c r="N58" s="181">
        <v>100</v>
      </c>
    </row>
    <row r="59" spans="1:14" ht="25" x14ac:dyDescent="0.25">
      <c r="A59" s="20" t="s">
        <v>740</v>
      </c>
      <c r="B59" s="11" t="s">
        <v>643</v>
      </c>
      <c r="C59" s="6" t="s">
        <v>717</v>
      </c>
      <c r="D59" s="6" t="s">
        <v>733</v>
      </c>
      <c r="E59" s="6" t="s">
        <v>741</v>
      </c>
      <c r="F59" s="6" t="s">
        <v>742</v>
      </c>
      <c r="G59" s="15" t="str" cm="1">
        <f t="array" ref="G59">MultiMatchPrefix(Table_Data[[#This Row],[D ID]],Table_Mappings[Data ID],0,"",TRUE,";
")</f>
        <v/>
      </c>
      <c r="I59" s="19" t="s">
        <v>2632</v>
      </c>
      <c r="J59" s="19" t="s">
        <v>715</v>
      </c>
      <c r="K59" s="19" t="s">
        <v>2615</v>
      </c>
      <c r="L59" s="19" t="s">
        <v>2616</v>
      </c>
      <c r="N59" s="181">
        <v>100</v>
      </c>
    </row>
    <row r="60" spans="1:14" x14ac:dyDescent="0.25">
      <c r="A60" s="20" t="s">
        <v>743</v>
      </c>
      <c r="B60" s="11" t="s">
        <v>643</v>
      </c>
      <c r="C60" s="6" t="s">
        <v>717</v>
      </c>
      <c r="D60" s="6" t="s">
        <v>733</v>
      </c>
      <c r="E60" s="6" t="s">
        <v>744</v>
      </c>
      <c r="F60" s="6" t="s">
        <v>81</v>
      </c>
      <c r="G60" s="15" t="str" cm="1">
        <f t="array" ref="G60">MultiMatchPrefix(Table_Data[[#This Row],[D ID]],Table_Mappings[Data ID],0,"",TRUE,";
")</f>
        <v/>
      </c>
      <c r="I60" s="19" t="s">
        <v>2632</v>
      </c>
      <c r="J60" s="19" t="s">
        <v>715</v>
      </c>
      <c r="K60" s="19" t="s">
        <v>2617</v>
      </c>
      <c r="L60" s="19" t="s">
        <v>2618</v>
      </c>
      <c r="N60" s="181">
        <v>100</v>
      </c>
    </row>
    <row r="61" spans="1:14" x14ac:dyDescent="0.25">
      <c r="A61" s="20" t="s">
        <v>745</v>
      </c>
      <c r="B61" s="11" t="s">
        <v>643</v>
      </c>
      <c r="C61" s="6" t="s">
        <v>717</v>
      </c>
      <c r="D61" s="6" t="s">
        <v>733</v>
      </c>
      <c r="E61" s="6" t="s">
        <v>746</v>
      </c>
      <c r="F61" s="6" t="s">
        <v>81</v>
      </c>
      <c r="G61" s="15" t="str" cm="1">
        <f t="array" ref="G61">MultiMatchPrefix(Table_Data[[#This Row],[D ID]],Table_Mappings[Data ID],0,"",TRUE,";
")</f>
        <v/>
      </c>
      <c r="I61" s="19" t="s">
        <v>2632</v>
      </c>
      <c r="J61" s="19" t="s">
        <v>715</v>
      </c>
      <c r="K61" s="19" t="s">
        <v>2619</v>
      </c>
      <c r="L61" s="19" t="s">
        <v>2620</v>
      </c>
      <c r="N61" s="181">
        <v>100</v>
      </c>
    </row>
    <row r="62" spans="1:14" ht="25" x14ac:dyDescent="0.25">
      <c r="A62" s="20" t="s">
        <v>747</v>
      </c>
      <c r="B62" s="11" t="s">
        <v>643</v>
      </c>
      <c r="C62" s="6" t="s">
        <v>717</v>
      </c>
      <c r="D62" s="6" t="s">
        <v>733</v>
      </c>
      <c r="E62" s="6" t="s">
        <v>748</v>
      </c>
      <c r="F62" s="6" t="s">
        <v>81</v>
      </c>
      <c r="G62" s="15" t="str" cm="1">
        <f t="array" ref="G62">MultiMatchPrefix(Table_Data[[#This Row],[D ID]],Table_Mappings[Data ID],0,"",TRUE,";
")</f>
        <v/>
      </c>
      <c r="I62" s="19" t="s">
        <v>2632</v>
      </c>
      <c r="J62" s="19" t="s">
        <v>715</v>
      </c>
      <c r="K62" s="19" t="s">
        <v>2621</v>
      </c>
      <c r="L62" s="19" t="s">
        <v>2622</v>
      </c>
      <c r="M62" s="19" t="s">
        <v>2623</v>
      </c>
      <c r="N62" s="181">
        <v>100</v>
      </c>
    </row>
    <row r="63" spans="1:14" x14ac:dyDescent="0.25">
      <c r="A63" s="20" t="s">
        <v>749</v>
      </c>
      <c r="B63" s="11" t="s">
        <v>643</v>
      </c>
      <c r="C63" s="6" t="s">
        <v>717</v>
      </c>
      <c r="D63" s="6" t="s">
        <v>733</v>
      </c>
      <c r="E63" s="6" t="s">
        <v>750</v>
      </c>
      <c r="F63" s="6" t="s">
        <v>81</v>
      </c>
      <c r="G63" s="15" t="str" cm="1">
        <f t="array" ref="G63">MultiMatchPrefix(Table_Data[[#This Row],[D ID]],Table_Mappings[Data ID],0,"",TRUE,";
")</f>
        <v/>
      </c>
      <c r="I63" s="19" t="s">
        <v>2632</v>
      </c>
      <c r="J63" s="19" t="s">
        <v>715</v>
      </c>
      <c r="K63" s="19" t="s">
        <v>750</v>
      </c>
      <c r="L63" s="19" t="s">
        <v>750</v>
      </c>
      <c r="N63" s="181">
        <v>100</v>
      </c>
    </row>
    <row r="64" spans="1:14" x14ac:dyDescent="0.25">
      <c r="A64" s="20" t="s">
        <v>751</v>
      </c>
      <c r="B64" s="11" t="s">
        <v>643</v>
      </c>
      <c r="C64" s="6" t="s">
        <v>717</v>
      </c>
      <c r="D64" s="6" t="s">
        <v>733</v>
      </c>
      <c r="E64" s="6" t="s">
        <v>752</v>
      </c>
      <c r="F64" s="6" t="s">
        <v>81</v>
      </c>
      <c r="G64" s="15" t="str" cm="1">
        <f t="array" ref="G64">MultiMatchPrefix(Table_Data[[#This Row],[D ID]],Table_Mappings[Data ID],0,"",TRUE,";
")</f>
        <v/>
      </c>
      <c r="I64" s="19" t="s">
        <v>2632</v>
      </c>
      <c r="J64" s="19" t="s">
        <v>715</v>
      </c>
      <c r="K64" s="19" t="s">
        <v>2624</v>
      </c>
      <c r="L64" s="19" t="s">
        <v>2625</v>
      </c>
      <c r="N64" s="181">
        <v>100</v>
      </c>
    </row>
    <row r="65" spans="1:14" x14ac:dyDescent="0.25">
      <c r="A65" s="20" t="s">
        <v>753</v>
      </c>
      <c r="B65" s="11" t="s">
        <v>643</v>
      </c>
      <c r="C65" s="6" t="s">
        <v>717</v>
      </c>
      <c r="D65" s="6" t="s">
        <v>733</v>
      </c>
      <c r="E65" s="6" t="s">
        <v>754</v>
      </c>
      <c r="F65" s="6" t="s">
        <v>81</v>
      </c>
      <c r="G65" s="15" t="str" cm="1">
        <f t="array" ref="G65">MultiMatchPrefix(Table_Data[[#This Row],[D ID]],Table_Mappings[Data ID],0,"",TRUE,";
")</f>
        <v/>
      </c>
      <c r="I65" s="185" t="s">
        <v>2632</v>
      </c>
      <c r="J65" s="19" t="s">
        <v>715</v>
      </c>
      <c r="K65" s="19" t="s">
        <v>2628</v>
      </c>
      <c r="L65" s="19" t="s">
        <v>2629</v>
      </c>
      <c r="N65" s="181">
        <v>100</v>
      </c>
    </row>
    <row r="66" spans="1:14" x14ac:dyDescent="0.25">
      <c r="A66" s="20" t="s">
        <v>755</v>
      </c>
      <c r="B66" s="11" t="s">
        <v>643</v>
      </c>
      <c r="C66" s="6" t="s">
        <v>717</v>
      </c>
      <c r="D66" s="6" t="s">
        <v>733</v>
      </c>
      <c r="E66" s="6" t="s">
        <v>756</v>
      </c>
      <c r="F66" s="6" t="s">
        <v>81</v>
      </c>
      <c r="G66" s="15" t="str" cm="1">
        <f t="array" ref="G66">MultiMatchPrefix(Table_Data[[#This Row],[D ID]],Table_Mappings[Data ID],0,"",TRUE,";
")</f>
        <v/>
      </c>
      <c r="I66" s="19" t="s">
        <v>2632</v>
      </c>
      <c r="J66" s="19" t="s">
        <v>715</v>
      </c>
      <c r="K66" s="19" t="s">
        <v>756</v>
      </c>
      <c r="L66" s="19" t="s">
        <v>2626</v>
      </c>
      <c r="N66" s="181">
        <v>100</v>
      </c>
    </row>
    <row r="67" spans="1:14" x14ac:dyDescent="0.25">
      <c r="A67" s="20" t="s">
        <v>757</v>
      </c>
      <c r="B67" s="11" t="s">
        <v>643</v>
      </c>
      <c r="C67" s="6" t="s">
        <v>717</v>
      </c>
      <c r="D67" s="6" t="s">
        <v>733</v>
      </c>
      <c r="E67" s="6" t="s">
        <v>758</v>
      </c>
      <c r="F67" s="6" t="s">
        <v>81</v>
      </c>
      <c r="G67" s="15" t="str" cm="1">
        <f t="array" ref="G67">MultiMatchPrefix(Table_Data[[#This Row],[D ID]],Table_Mappings[Data ID],0,"",TRUE,";
")</f>
        <v/>
      </c>
      <c r="I67" s="19" t="s">
        <v>2632</v>
      </c>
      <c r="J67" s="19" t="s">
        <v>715</v>
      </c>
      <c r="K67" s="19" t="s">
        <v>758</v>
      </c>
      <c r="L67" s="19" t="s">
        <v>2627</v>
      </c>
      <c r="N67" s="181">
        <v>100</v>
      </c>
    </row>
    <row r="68" spans="1:14" x14ac:dyDescent="0.25">
      <c r="A68" s="20" t="s">
        <v>759</v>
      </c>
      <c r="B68" s="11" t="s">
        <v>643</v>
      </c>
      <c r="C68" s="6" t="s">
        <v>717</v>
      </c>
      <c r="D68" s="6" t="s">
        <v>733</v>
      </c>
      <c r="E68" s="6" t="s">
        <v>760</v>
      </c>
      <c r="F68" s="6" t="s">
        <v>81</v>
      </c>
      <c r="G68" s="15" t="str" cm="1">
        <f t="array" ref="G68">MultiMatchPrefix(Table_Data[[#This Row],[D ID]],Table_Mappings[Data ID],0,"",TRUE,";
")</f>
        <v/>
      </c>
      <c r="I68" s="185" t="s">
        <v>2632</v>
      </c>
      <c r="J68" s="19" t="s">
        <v>715</v>
      </c>
      <c r="K68" s="19" t="s">
        <v>2674</v>
      </c>
      <c r="L68" s="19" t="s">
        <v>2675</v>
      </c>
      <c r="N68" s="181" t="s">
        <v>2639</v>
      </c>
    </row>
    <row r="69" spans="1:14" x14ac:dyDescent="0.25">
      <c r="A69" s="20" t="s">
        <v>761</v>
      </c>
      <c r="B69" s="11" t="s">
        <v>640</v>
      </c>
      <c r="C69" s="6" t="s">
        <v>717</v>
      </c>
      <c r="D69" s="6" t="s">
        <v>762</v>
      </c>
      <c r="E69" s="17"/>
      <c r="F69" s="6" t="s">
        <v>81</v>
      </c>
      <c r="G69" s="15" t="str" cm="1">
        <f t="array" ref="G69">MultiMatchPrefix(Table_Data[[#This Row],[D ID]],Table_Mappings[Data ID],0,"",TRUE,";
")</f>
        <v/>
      </c>
      <c r="I69" s="19" t="s">
        <v>2632</v>
      </c>
      <c r="J69" s="19" t="s">
        <v>715</v>
      </c>
      <c r="K69" s="19" t="s">
        <v>715</v>
      </c>
      <c r="L69" s="19" t="s">
        <v>2612</v>
      </c>
      <c r="N69" s="181">
        <v>100</v>
      </c>
    </row>
    <row r="70" spans="1:14" ht="13" x14ac:dyDescent="0.25">
      <c r="A70" s="20" t="s">
        <v>763</v>
      </c>
      <c r="B70" s="11" t="s">
        <v>643</v>
      </c>
      <c r="C70" s="153" t="s">
        <v>717</v>
      </c>
      <c r="D70" s="153" t="s">
        <v>762</v>
      </c>
      <c r="E70" s="153" t="s">
        <v>694</v>
      </c>
      <c r="F70" s="6" t="s">
        <v>692</v>
      </c>
      <c r="G70" s="15" t="str" cm="1">
        <f t="array" ref="G70">MultiMatchPrefix(Table_Data[[#This Row],[D ID]],Table_Mappings[Data ID],0,"",TRUE,";
")</f>
        <v/>
      </c>
      <c r="I70" s="19" t="s">
        <v>2632</v>
      </c>
      <c r="J70" s="19" t="s">
        <v>715</v>
      </c>
      <c r="M70" s="19" t="s">
        <v>2673</v>
      </c>
      <c r="N70" s="181">
        <v>100</v>
      </c>
    </row>
    <row r="71" spans="1:14" x14ac:dyDescent="0.25">
      <c r="A71" s="20" t="s">
        <v>764</v>
      </c>
      <c r="B71" s="11" t="s">
        <v>640</v>
      </c>
      <c r="C71" s="6" t="s">
        <v>717</v>
      </c>
      <c r="D71" s="6" t="s">
        <v>765</v>
      </c>
      <c r="E71" s="17"/>
      <c r="F71" s="6" t="s">
        <v>81</v>
      </c>
      <c r="G71" s="15" t="str" cm="1">
        <f t="array" ref="G71">MultiMatchPrefix(Table_Data[[#This Row],[D ID]],Table_Mappings[Data ID],0,"",TRUE,";
")</f>
        <v/>
      </c>
    </row>
    <row r="72" spans="1:14" ht="25" x14ac:dyDescent="0.25">
      <c r="A72" s="20" t="s">
        <v>766</v>
      </c>
      <c r="B72" s="11" t="s">
        <v>643</v>
      </c>
      <c r="C72" s="6" t="s">
        <v>717</v>
      </c>
      <c r="D72" s="6" t="s">
        <v>765</v>
      </c>
      <c r="E72" s="6" t="s">
        <v>767</v>
      </c>
      <c r="F72" s="6" t="s">
        <v>768</v>
      </c>
      <c r="G72" s="15" t="str" cm="1">
        <f t="array" ref="G72">MultiMatchPrefix(Table_Data[[#This Row],[D ID]],Table_Mappings[Data ID],0,"",TRUE,";
")</f>
        <v/>
      </c>
      <c r="I72" s="19" t="s">
        <v>2632</v>
      </c>
      <c r="J72" s="19" t="s">
        <v>765</v>
      </c>
      <c r="K72" s="19" t="s">
        <v>2608</v>
      </c>
      <c r="M72" s="19" t="s">
        <v>2604</v>
      </c>
      <c r="N72" s="181">
        <v>100</v>
      </c>
    </row>
    <row r="73" spans="1:14" x14ac:dyDescent="0.25">
      <c r="A73" s="20" t="s">
        <v>769</v>
      </c>
      <c r="B73" s="11" t="s">
        <v>643</v>
      </c>
      <c r="C73" s="6" t="s">
        <v>717</v>
      </c>
      <c r="D73" s="6" t="s">
        <v>765</v>
      </c>
      <c r="E73" s="6" t="s">
        <v>770</v>
      </c>
      <c r="F73" s="6" t="s">
        <v>81</v>
      </c>
      <c r="G73" s="15" t="str" cm="1">
        <f t="array" ref="G73">MultiMatchPrefix(Table_Data[[#This Row],[D ID]],Table_Mappings[Data ID],0,"",TRUE,";
")</f>
        <v/>
      </c>
      <c r="I73" s="19" t="s">
        <v>2632</v>
      </c>
      <c r="J73" s="19" t="s">
        <v>765</v>
      </c>
      <c r="K73" s="19" t="s">
        <v>2608</v>
      </c>
      <c r="L73" s="19" t="s">
        <v>2611</v>
      </c>
      <c r="M73" s="19" t="s">
        <v>2605</v>
      </c>
      <c r="N73" s="181">
        <v>100</v>
      </c>
    </row>
    <row r="74" spans="1:14" x14ac:dyDescent="0.25">
      <c r="A74" s="20" t="s">
        <v>771</v>
      </c>
      <c r="B74" s="11" t="s">
        <v>643</v>
      </c>
      <c r="C74" s="6" t="s">
        <v>717</v>
      </c>
      <c r="D74" s="6" t="s">
        <v>765</v>
      </c>
      <c r="E74" s="6" t="s">
        <v>772</v>
      </c>
      <c r="F74" s="6" t="s">
        <v>81</v>
      </c>
      <c r="G74" s="15" t="str" cm="1">
        <f t="array" ref="G74">MultiMatchPrefix(Table_Data[[#This Row],[D ID]],Table_Mappings[Data ID],0,"",TRUE,";
")</f>
        <v/>
      </c>
      <c r="I74" s="19" t="s">
        <v>2632</v>
      </c>
      <c r="J74" s="19" t="s">
        <v>765</v>
      </c>
      <c r="K74" s="19" t="s">
        <v>2608</v>
      </c>
      <c r="M74" s="19" t="s">
        <v>2606</v>
      </c>
      <c r="N74" s="181">
        <v>100</v>
      </c>
    </row>
    <row r="75" spans="1:14" x14ac:dyDescent="0.25">
      <c r="A75" s="20" t="s">
        <v>773</v>
      </c>
      <c r="B75" s="11" t="s">
        <v>643</v>
      </c>
      <c r="C75" s="6" t="s">
        <v>717</v>
      </c>
      <c r="D75" s="6" t="s">
        <v>765</v>
      </c>
      <c r="E75" s="6" t="s">
        <v>774</v>
      </c>
      <c r="F75" s="6" t="s">
        <v>81</v>
      </c>
      <c r="G75" s="15" t="str" cm="1">
        <f t="array" ref="G75">MultiMatchPrefix(Table_Data[[#This Row],[D ID]],Table_Mappings[Data ID],0,"",TRUE,";
")</f>
        <v/>
      </c>
      <c r="I75" s="19" t="s">
        <v>2632</v>
      </c>
      <c r="J75" s="19" t="s">
        <v>765</v>
      </c>
      <c r="K75" s="19" t="s">
        <v>2606</v>
      </c>
      <c r="L75" s="19" t="s">
        <v>2610</v>
      </c>
      <c r="N75" s="181">
        <v>100</v>
      </c>
    </row>
    <row r="76" spans="1:14" x14ac:dyDescent="0.25">
      <c r="A76" s="20" t="s">
        <v>775</v>
      </c>
      <c r="B76" s="11" t="s">
        <v>640</v>
      </c>
      <c r="C76" s="6" t="s">
        <v>717</v>
      </c>
      <c r="D76" s="6" t="s">
        <v>776</v>
      </c>
      <c r="E76" s="17"/>
      <c r="F76" s="6" t="s">
        <v>81</v>
      </c>
      <c r="G76" s="15" t="str" cm="1">
        <f t="array" ref="G76">MultiMatchPrefix(Table_Data[[#This Row],[D ID]],Table_Mappings[Data ID],0,"",TRUE,";
")</f>
        <v/>
      </c>
    </row>
    <row r="77" spans="1:14" ht="37.5" x14ac:dyDescent="0.25">
      <c r="A77" s="20" t="s">
        <v>777</v>
      </c>
      <c r="B77" s="11" t="s">
        <v>643</v>
      </c>
      <c r="C77" s="6" t="s">
        <v>717</v>
      </c>
      <c r="D77" s="6" t="s">
        <v>776</v>
      </c>
      <c r="E77" s="6" t="s">
        <v>778</v>
      </c>
      <c r="F77" s="6" t="s">
        <v>779</v>
      </c>
      <c r="G77" s="15" t="str" cm="1">
        <f t="array" ref="G77">MultiMatchPrefix(Table_Data[[#This Row],[D ID]],Table_Mappings[Data ID],0,"",TRUE,";
")</f>
        <v/>
      </c>
    </row>
    <row r="78" spans="1:14" x14ac:dyDescent="0.25">
      <c r="A78" s="20" t="s">
        <v>780</v>
      </c>
      <c r="B78" s="11" t="s">
        <v>643</v>
      </c>
      <c r="C78" s="6" t="s">
        <v>717</v>
      </c>
      <c r="D78" s="6" t="s">
        <v>776</v>
      </c>
      <c r="E78" s="6" t="s">
        <v>781</v>
      </c>
      <c r="F78" s="6" t="s">
        <v>81</v>
      </c>
      <c r="G78" s="15" t="str" cm="1">
        <f t="array" ref="G78">MultiMatchPrefix(Table_Data[[#This Row],[D ID]],Table_Mappings[Data ID],0,"",TRUE,";
")</f>
        <v/>
      </c>
      <c r="K78" s="19" t="s">
        <v>781</v>
      </c>
      <c r="L78" s="19" t="s">
        <v>2630</v>
      </c>
    </row>
    <row r="79" spans="1:14" x14ac:dyDescent="0.25">
      <c r="A79" s="20" t="s">
        <v>782</v>
      </c>
      <c r="B79" s="11" t="s">
        <v>643</v>
      </c>
      <c r="C79" s="6" t="s">
        <v>717</v>
      </c>
      <c r="D79" s="6" t="s">
        <v>776</v>
      </c>
      <c r="E79" s="6" t="s">
        <v>783</v>
      </c>
      <c r="F79" s="6" t="s">
        <v>81</v>
      </c>
      <c r="G79" s="15" t="str" cm="1">
        <f t="array" ref="G79">MultiMatchPrefix(Table_Data[[#This Row],[D ID]],Table_Mappings[Data ID],0,"",TRUE,";
")</f>
        <v/>
      </c>
    </row>
    <row r="80" spans="1:14" x14ac:dyDescent="0.25">
      <c r="A80" s="20" t="s">
        <v>784</v>
      </c>
      <c r="B80" s="11" t="s">
        <v>640</v>
      </c>
      <c r="C80" s="6" t="s">
        <v>717</v>
      </c>
      <c r="D80" s="6" t="s">
        <v>785</v>
      </c>
      <c r="E80" s="17"/>
      <c r="F80" s="6" t="s">
        <v>81</v>
      </c>
      <c r="G80" s="15" t="str" cm="1">
        <f t="array" ref="G80">MultiMatchPrefix(Table_Data[[#This Row],[D ID]],Table_Mappings[Data ID],0,"",TRUE,";
")</f>
        <v/>
      </c>
    </row>
    <row r="81" spans="1:14" x14ac:dyDescent="0.25">
      <c r="A81" s="20" t="s">
        <v>786</v>
      </c>
      <c r="B81" s="11" t="s">
        <v>643</v>
      </c>
      <c r="C81" s="6" t="s">
        <v>717</v>
      </c>
      <c r="D81" s="6" t="s">
        <v>785</v>
      </c>
      <c r="E81" s="6" t="s">
        <v>787</v>
      </c>
      <c r="F81" s="6" t="s">
        <v>81</v>
      </c>
      <c r="G81" s="15" t="str" cm="1">
        <f t="array" ref="G81">MultiMatchPrefix(Table_Data[[#This Row],[D ID]],Table_Mappings[Data ID],0,"",TRUE,";
")</f>
        <v/>
      </c>
    </row>
    <row r="82" spans="1:14" x14ac:dyDescent="0.25">
      <c r="A82" s="20" t="s">
        <v>788</v>
      </c>
      <c r="B82" s="11" t="s">
        <v>643</v>
      </c>
      <c r="C82" s="6" t="s">
        <v>717</v>
      </c>
      <c r="D82" s="6" t="s">
        <v>785</v>
      </c>
      <c r="E82" s="6" t="s">
        <v>789</v>
      </c>
      <c r="F82" s="6" t="s">
        <v>81</v>
      </c>
      <c r="G82" s="15" t="str" cm="1">
        <f t="array" ref="G82">MultiMatchPrefix(Table_Data[[#This Row],[D ID]],Table_Mappings[Data ID],0,"",TRUE,";
")</f>
        <v/>
      </c>
    </row>
    <row r="83" spans="1:14" x14ac:dyDescent="0.25">
      <c r="A83" s="20" t="s">
        <v>790</v>
      </c>
      <c r="B83" s="11" t="s">
        <v>640</v>
      </c>
      <c r="C83" s="6" t="s">
        <v>717</v>
      </c>
      <c r="D83" s="6" t="s">
        <v>791</v>
      </c>
      <c r="E83" s="17"/>
      <c r="F83" s="6" t="s">
        <v>81</v>
      </c>
      <c r="G83" s="15" t="str" cm="1">
        <f t="array" ref="G83">MultiMatchPrefix(Table_Data[[#This Row],[D ID]],Table_Mappings[Data ID],0,"",TRUE,";
")</f>
        <v/>
      </c>
    </row>
    <row r="84" spans="1:14" x14ac:dyDescent="0.25">
      <c r="A84" s="20" t="s">
        <v>792</v>
      </c>
      <c r="B84" s="11" t="s">
        <v>643</v>
      </c>
      <c r="C84" s="6" t="s">
        <v>717</v>
      </c>
      <c r="D84" s="6" t="s">
        <v>791</v>
      </c>
      <c r="E84" s="6" t="s">
        <v>793</v>
      </c>
      <c r="F84" s="6" t="s">
        <v>81</v>
      </c>
      <c r="G84" s="15" t="str" cm="1">
        <f t="array" ref="G84">MultiMatchPrefix(Table_Data[[#This Row],[D ID]],Table_Mappings[Data ID],0,"",TRUE,";
")</f>
        <v/>
      </c>
    </row>
    <row r="85" spans="1:14" ht="100" x14ac:dyDescent="0.25">
      <c r="A85" s="20" t="s">
        <v>367</v>
      </c>
      <c r="B85" s="11" t="s">
        <v>79</v>
      </c>
      <c r="C85" s="6" t="s">
        <v>52</v>
      </c>
      <c r="D85" s="17"/>
      <c r="E85" s="17"/>
      <c r="F85" s="6" t="s">
        <v>794</v>
      </c>
      <c r="G85" s="15" t="str" cm="1">
        <f t="array" ref="G85">MultiMatchPrefix(Table_Data[[#This Row],[D ID]],Table_Mappings[Data ID],0,"",TRUE,";
")</f>
        <v>02.01 Procurement planning of goods or kits;
02.02 Markets assessment of goods or kits ;
02.04 Procurement derogation validation ;
02.05 Purchase Order management for goods or kits;
02.08 Procurement planning of services or works;
02.09 Markets assessment of services or works ;
02.11 Procurement derogation validation ;
02.12 Purchase Order management for services or works</v>
      </c>
      <c r="I85" s="19" t="s">
        <v>2632</v>
      </c>
      <c r="J85" s="19" t="s">
        <v>1061</v>
      </c>
      <c r="K85" s="19" t="s">
        <v>1061</v>
      </c>
      <c r="L85" s="19" t="s">
        <v>2683</v>
      </c>
      <c r="N85" s="181" t="s">
        <v>2639</v>
      </c>
    </row>
    <row r="86" spans="1:14" x14ac:dyDescent="0.25">
      <c r="A86" s="20" t="s">
        <v>795</v>
      </c>
      <c r="B86" s="11" t="s">
        <v>640</v>
      </c>
      <c r="C86" s="6" t="s">
        <v>52</v>
      </c>
      <c r="D86" s="6" t="s">
        <v>796</v>
      </c>
      <c r="E86" s="17"/>
      <c r="F86" s="6" t="s">
        <v>81</v>
      </c>
      <c r="G86" s="15" t="str" cm="1">
        <f t="array" ref="G86">MultiMatchPrefix(Table_Data[[#This Row],[D ID]],Table_Mappings[Data ID],0,"",TRUE,";
")</f>
        <v/>
      </c>
      <c r="I86" s="19" t="s">
        <v>2632</v>
      </c>
      <c r="J86" s="19" t="s">
        <v>1061</v>
      </c>
      <c r="K86" s="19" t="s">
        <v>2677</v>
      </c>
      <c r="L86" s="19" t="s">
        <v>2681</v>
      </c>
      <c r="N86" s="181" t="s">
        <v>2639</v>
      </c>
    </row>
    <row r="87" spans="1:14" x14ac:dyDescent="0.25">
      <c r="A87" s="20" t="s">
        <v>797</v>
      </c>
      <c r="B87" s="11" t="s">
        <v>643</v>
      </c>
      <c r="C87" s="6" t="s">
        <v>52</v>
      </c>
      <c r="D87" s="6" t="s">
        <v>796</v>
      </c>
      <c r="E87" s="6" t="s">
        <v>644</v>
      </c>
      <c r="F87" s="6" t="s">
        <v>81</v>
      </c>
      <c r="G87" s="15" t="str" cm="1">
        <f t="array" ref="G87">MultiMatchPrefix(Table_Data[[#This Row],[D ID]],Table_Mappings[Data ID],0,"",TRUE,";
")</f>
        <v/>
      </c>
      <c r="I87" s="19" t="s">
        <v>2632</v>
      </c>
      <c r="J87" s="19" t="s">
        <v>1061</v>
      </c>
      <c r="K87" s="19" t="s">
        <v>2678</v>
      </c>
      <c r="L87" s="19" t="s">
        <v>2682</v>
      </c>
      <c r="N87" s="181" t="s">
        <v>2639</v>
      </c>
    </row>
    <row r="88" spans="1:14" x14ac:dyDescent="0.25">
      <c r="A88" s="20" t="s">
        <v>798</v>
      </c>
      <c r="B88" s="11" t="s">
        <v>643</v>
      </c>
      <c r="C88" s="6" t="s">
        <v>52</v>
      </c>
      <c r="D88" s="6" t="s">
        <v>796</v>
      </c>
      <c r="E88" s="6" t="s">
        <v>646</v>
      </c>
      <c r="F88" s="6" t="s">
        <v>81</v>
      </c>
      <c r="G88" s="15" t="str" cm="1">
        <f t="array" ref="G88">MultiMatchPrefix(Table_Data[[#This Row],[D ID]],Table_Mappings[Data ID],0,"",TRUE,";
")</f>
        <v/>
      </c>
      <c r="I88" s="19" t="s">
        <v>2632</v>
      </c>
      <c r="J88" s="19" t="s">
        <v>1061</v>
      </c>
      <c r="K88" s="19" t="s">
        <v>635</v>
      </c>
      <c r="L88" s="19" t="s">
        <v>2655</v>
      </c>
      <c r="N88" s="181" t="s">
        <v>2639</v>
      </c>
    </row>
    <row r="89" spans="1:14" x14ac:dyDescent="0.25">
      <c r="A89" s="20" t="s">
        <v>799</v>
      </c>
      <c r="B89" s="11" t="s">
        <v>643</v>
      </c>
      <c r="C89" s="6" t="s">
        <v>52</v>
      </c>
      <c r="D89" s="6" t="s">
        <v>796</v>
      </c>
      <c r="E89" s="6" t="s">
        <v>800</v>
      </c>
      <c r="F89" s="6" t="s">
        <v>81</v>
      </c>
      <c r="G89" s="15" t="str" cm="1">
        <f t="array" ref="G89">MultiMatchPrefix(Table_Data[[#This Row],[D ID]],Table_Mappings[Data ID],0,"",TRUE,";
")</f>
        <v/>
      </c>
      <c r="I89" s="19" t="s">
        <v>2632</v>
      </c>
      <c r="J89" s="19" t="s">
        <v>1061</v>
      </c>
      <c r="K89" s="19" t="s">
        <v>897</v>
      </c>
      <c r="L89" s="19" t="s">
        <v>2676</v>
      </c>
      <c r="N89" s="181" t="s">
        <v>2639</v>
      </c>
    </row>
    <row r="90" spans="1:14" x14ac:dyDescent="0.25">
      <c r="A90" s="20" t="s">
        <v>801</v>
      </c>
      <c r="B90" s="11" t="s">
        <v>643</v>
      </c>
      <c r="C90" s="6" t="s">
        <v>52</v>
      </c>
      <c r="D90" s="6" t="s">
        <v>796</v>
      </c>
      <c r="E90" s="6" t="s">
        <v>802</v>
      </c>
      <c r="F90" s="6" t="s">
        <v>803</v>
      </c>
      <c r="G90" s="15" t="str" cm="1">
        <f t="array" ref="G90">MultiMatchPrefix(Table_Data[[#This Row],[D ID]],Table_Mappings[Data ID],0,"",TRUE,";
")</f>
        <v/>
      </c>
      <c r="I90" s="19" t="s">
        <v>2632</v>
      </c>
      <c r="J90" s="19" t="s">
        <v>1061</v>
      </c>
      <c r="K90" s="19" t="s">
        <v>2679</v>
      </c>
      <c r="L90" s="19" t="s">
        <v>2680</v>
      </c>
      <c r="N90" s="181" t="s">
        <v>2639</v>
      </c>
    </row>
    <row r="91" spans="1:14" x14ac:dyDescent="0.25">
      <c r="A91" s="20" t="s">
        <v>804</v>
      </c>
      <c r="B91" s="11" t="s">
        <v>640</v>
      </c>
      <c r="C91" s="6" t="s">
        <v>52</v>
      </c>
      <c r="D91" s="6" t="s">
        <v>805</v>
      </c>
      <c r="E91" s="17"/>
      <c r="F91" s="6" t="s">
        <v>81</v>
      </c>
      <c r="G91" s="15" t="str" cm="1">
        <f t="array" ref="G91">MultiMatchPrefix(Table_Data[[#This Row],[D ID]],Table_Mappings[Data ID],0,"",TRUE,";
")</f>
        <v/>
      </c>
    </row>
    <row r="92" spans="1:14" x14ac:dyDescent="0.25">
      <c r="A92" s="20" t="s">
        <v>806</v>
      </c>
      <c r="B92" s="11" t="s">
        <v>643</v>
      </c>
      <c r="C92" s="6" t="s">
        <v>52</v>
      </c>
      <c r="D92" s="6" t="s">
        <v>805</v>
      </c>
      <c r="E92" s="6" t="s">
        <v>807</v>
      </c>
      <c r="F92" s="6" t="s">
        <v>81</v>
      </c>
      <c r="G92" s="15" t="str" cm="1">
        <f t="array" ref="G92">MultiMatchPrefix(Table_Data[[#This Row],[D ID]],Table_Mappings[Data ID],0,"",TRUE,";
")</f>
        <v/>
      </c>
    </row>
    <row r="93" spans="1:14" x14ac:dyDescent="0.25">
      <c r="A93" s="20" t="s">
        <v>808</v>
      </c>
      <c r="B93" s="11" t="s">
        <v>643</v>
      </c>
      <c r="C93" s="6" t="s">
        <v>52</v>
      </c>
      <c r="D93" s="6" t="s">
        <v>805</v>
      </c>
      <c r="E93" s="6" t="s">
        <v>809</v>
      </c>
      <c r="F93" s="6" t="s">
        <v>81</v>
      </c>
      <c r="G93" s="15" t="str" cm="1">
        <f t="array" ref="G93">MultiMatchPrefix(Table_Data[[#This Row],[D ID]],Table_Mappings[Data ID],0,"",TRUE,";
")</f>
        <v/>
      </c>
    </row>
    <row r="94" spans="1:14" x14ac:dyDescent="0.25">
      <c r="A94" s="20" t="s">
        <v>810</v>
      </c>
      <c r="B94" s="11" t="s">
        <v>643</v>
      </c>
      <c r="C94" s="6" t="s">
        <v>52</v>
      </c>
      <c r="D94" s="6" t="s">
        <v>805</v>
      </c>
      <c r="E94" s="6" t="s">
        <v>811</v>
      </c>
      <c r="F94" s="6" t="s">
        <v>81</v>
      </c>
      <c r="G94" s="15" t="str" cm="1">
        <f t="array" ref="G94">MultiMatchPrefix(Table_Data[[#This Row],[D ID]],Table_Mappings[Data ID],0,"",TRUE,";
")</f>
        <v/>
      </c>
    </row>
    <row r="95" spans="1:14" x14ac:dyDescent="0.25">
      <c r="A95" s="20" t="s">
        <v>812</v>
      </c>
      <c r="B95" s="11" t="s">
        <v>643</v>
      </c>
      <c r="C95" s="6" t="s">
        <v>52</v>
      </c>
      <c r="D95" s="6" t="s">
        <v>805</v>
      </c>
      <c r="E95" s="6" t="s">
        <v>813</v>
      </c>
      <c r="F95" s="6" t="s">
        <v>81</v>
      </c>
      <c r="G95" s="15" t="str" cm="1">
        <f t="array" ref="G95">MultiMatchPrefix(Table_Data[[#This Row],[D ID]],Table_Mappings[Data ID],0,"",TRUE,";
")</f>
        <v/>
      </c>
    </row>
    <row r="96" spans="1:14" x14ac:dyDescent="0.25">
      <c r="A96" s="20" t="s">
        <v>814</v>
      </c>
      <c r="B96" s="11" t="s">
        <v>643</v>
      </c>
      <c r="C96" s="6" t="s">
        <v>52</v>
      </c>
      <c r="D96" s="6" t="s">
        <v>805</v>
      </c>
      <c r="E96" s="6" t="s">
        <v>815</v>
      </c>
      <c r="F96" s="6" t="s">
        <v>81</v>
      </c>
      <c r="G96" s="15" t="str" cm="1">
        <f t="array" ref="G96">MultiMatchPrefix(Table_Data[[#This Row],[D ID]],Table_Mappings[Data ID],0,"",TRUE,";
")</f>
        <v/>
      </c>
    </row>
    <row r="97" spans="1:14" x14ac:dyDescent="0.25">
      <c r="A97" s="20" t="s">
        <v>816</v>
      </c>
      <c r="B97" s="11" t="s">
        <v>640</v>
      </c>
      <c r="C97" s="6" t="s">
        <v>52</v>
      </c>
      <c r="D97" s="6" t="s">
        <v>817</v>
      </c>
      <c r="E97" s="17"/>
      <c r="F97" s="6" t="s">
        <v>818</v>
      </c>
      <c r="G97" s="15" t="str" cm="1">
        <f t="array" ref="G97">MultiMatchPrefix(Table_Data[[#This Row],[D ID]],Table_Mappings[Data ID],0,"",TRUE,";
")</f>
        <v/>
      </c>
    </row>
    <row r="98" spans="1:14" x14ac:dyDescent="0.25">
      <c r="A98" s="20" t="s">
        <v>819</v>
      </c>
      <c r="B98" s="11" t="s">
        <v>643</v>
      </c>
      <c r="C98" s="6" t="s">
        <v>52</v>
      </c>
      <c r="D98" s="6" t="s">
        <v>817</v>
      </c>
      <c r="E98" s="6" t="s">
        <v>820</v>
      </c>
      <c r="F98" s="6" t="s">
        <v>81</v>
      </c>
      <c r="G98" s="15" t="str" cm="1">
        <f t="array" ref="G98">MultiMatchPrefix(Table_Data[[#This Row],[D ID]],Table_Mappings[Data ID],0,"",TRUE,";
")</f>
        <v/>
      </c>
    </row>
    <row r="99" spans="1:14" x14ac:dyDescent="0.25">
      <c r="A99" s="20" t="s">
        <v>821</v>
      </c>
      <c r="B99" s="11" t="s">
        <v>643</v>
      </c>
      <c r="C99" s="6" t="s">
        <v>52</v>
      </c>
      <c r="D99" s="6" t="s">
        <v>817</v>
      </c>
      <c r="E99" s="6" t="s">
        <v>822</v>
      </c>
      <c r="F99" s="6" t="s">
        <v>81</v>
      </c>
      <c r="G99" s="15" t="str" cm="1">
        <f t="array" ref="G99">MultiMatchPrefix(Table_Data[[#This Row],[D ID]],Table_Mappings[Data ID],0,"",TRUE,";
")</f>
        <v/>
      </c>
    </row>
    <row r="100" spans="1:14" x14ac:dyDescent="0.25">
      <c r="A100" s="20" t="s">
        <v>823</v>
      </c>
      <c r="B100" s="11" t="s">
        <v>643</v>
      </c>
      <c r="C100" s="6" t="s">
        <v>52</v>
      </c>
      <c r="D100" s="6" t="s">
        <v>817</v>
      </c>
      <c r="E100" s="6" t="s">
        <v>824</v>
      </c>
      <c r="F100" s="6" t="s">
        <v>81</v>
      </c>
      <c r="G100" s="15" t="str" cm="1">
        <f t="array" ref="G100">MultiMatchPrefix(Table_Data[[#This Row],[D ID]],Table_Mappings[Data ID],0,"",TRUE,";
")</f>
        <v/>
      </c>
    </row>
    <row r="101" spans="1:14" x14ac:dyDescent="0.25">
      <c r="A101" s="20" t="s">
        <v>825</v>
      </c>
      <c r="B101" s="11" t="s">
        <v>643</v>
      </c>
      <c r="C101" s="6" t="s">
        <v>52</v>
      </c>
      <c r="D101" s="6" t="s">
        <v>817</v>
      </c>
      <c r="E101" s="6" t="s">
        <v>826</v>
      </c>
      <c r="F101" s="6" t="s">
        <v>81</v>
      </c>
      <c r="G101" s="15" t="str" cm="1">
        <f t="array" ref="G101">MultiMatchPrefix(Table_Data[[#This Row],[D ID]],Table_Mappings[Data ID],0,"",TRUE,";
")</f>
        <v/>
      </c>
    </row>
    <row r="102" spans="1:14" ht="25" x14ac:dyDescent="0.25">
      <c r="A102" s="20" t="s">
        <v>827</v>
      </c>
      <c r="B102" s="11" t="s">
        <v>640</v>
      </c>
      <c r="C102" s="6" t="s">
        <v>52</v>
      </c>
      <c r="D102" s="6" t="s">
        <v>828</v>
      </c>
      <c r="E102" s="17"/>
      <c r="F102" s="6" t="s">
        <v>829</v>
      </c>
      <c r="G102" s="15" t="str" cm="1">
        <f t="array" ref="G102">MultiMatchPrefix(Table_Data[[#This Row],[D ID]],Table_Mappings[Data ID],0,"",TRUE,";
")</f>
        <v/>
      </c>
    </row>
    <row r="103" spans="1:14" x14ac:dyDescent="0.25">
      <c r="A103" s="20" t="s">
        <v>830</v>
      </c>
      <c r="B103" s="11" t="s">
        <v>643</v>
      </c>
      <c r="C103" s="6" t="s">
        <v>52</v>
      </c>
      <c r="D103" s="6" t="s">
        <v>828</v>
      </c>
      <c r="E103" s="6" t="s">
        <v>831</v>
      </c>
      <c r="F103" s="6" t="s">
        <v>81</v>
      </c>
      <c r="G103" s="15" t="str" cm="1">
        <f t="array" ref="G103">MultiMatchPrefix(Table_Data[[#This Row],[D ID]],Table_Mappings[Data ID],0,"",TRUE,";
")</f>
        <v/>
      </c>
    </row>
    <row r="104" spans="1:14" x14ac:dyDescent="0.25">
      <c r="A104" s="20" t="s">
        <v>832</v>
      </c>
      <c r="B104" s="11" t="s">
        <v>643</v>
      </c>
      <c r="C104" s="6" t="s">
        <v>52</v>
      </c>
      <c r="D104" s="6" t="s">
        <v>828</v>
      </c>
      <c r="E104" s="6" t="s">
        <v>833</v>
      </c>
      <c r="F104" s="6" t="s">
        <v>81</v>
      </c>
      <c r="G104" s="15" t="str" cm="1">
        <f t="array" ref="G104">MultiMatchPrefix(Table_Data[[#This Row],[D ID]],Table_Mappings[Data ID],0,"",TRUE,";
")</f>
        <v/>
      </c>
    </row>
    <row r="105" spans="1:14" x14ac:dyDescent="0.25">
      <c r="A105" s="20" t="s">
        <v>834</v>
      </c>
      <c r="B105" s="11" t="s">
        <v>643</v>
      </c>
      <c r="C105" s="6" t="s">
        <v>52</v>
      </c>
      <c r="D105" s="6" t="s">
        <v>828</v>
      </c>
      <c r="E105" s="6" t="s">
        <v>835</v>
      </c>
      <c r="F105" s="6" t="s">
        <v>81</v>
      </c>
      <c r="G105" s="15" t="str" cm="1">
        <f t="array" ref="G105">MultiMatchPrefix(Table_Data[[#This Row],[D ID]],Table_Mappings[Data ID],0,"",TRUE,";
")</f>
        <v/>
      </c>
    </row>
    <row r="106" spans="1:14" x14ac:dyDescent="0.25">
      <c r="A106" s="20" t="s">
        <v>836</v>
      </c>
      <c r="B106" s="11" t="s">
        <v>643</v>
      </c>
      <c r="C106" s="6" t="s">
        <v>52</v>
      </c>
      <c r="D106" s="6" t="s">
        <v>828</v>
      </c>
      <c r="E106" s="6" t="s">
        <v>837</v>
      </c>
      <c r="F106" s="6" t="s">
        <v>81</v>
      </c>
      <c r="G106" s="15" t="str" cm="1">
        <f t="array" ref="G106">MultiMatchPrefix(Table_Data[[#This Row],[D ID]],Table_Mappings[Data ID],0,"",TRUE,";
")</f>
        <v/>
      </c>
    </row>
    <row r="107" spans="1:14" x14ac:dyDescent="0.25">
      <c r="A107" s="20" t="s">
        <v>838</v>
      </c>
      <c r="B107" s="11" t="s">
        <v>643</v>
      </c>
      <c r="C107" s="6" t="s">
        <v>52</v>
      </c>
      <c r="D107" s="6" t="s">
        <v>828</v>
      </c>
      <c r="E107" s="6" t="s">
        <v>839</v>
      </c>
      <c r="F107" s="6" t="s">
        <v>81</v>
      </c>
      <c r="G107" s="15" t="str" cm="1">
        <f t="array" ref="G107">MultiMatchPrefix(Table_Data[[#This Row],[D ID]],Table_Mappings[Data ID],0,"",TRUE,";
")</f>
        <v/>
      </c>
    </row>
    <row r="108" spans="1:14" x14ac:dyDescent="0.25">
      <c r="A108" s="20" t="s">
        <v>840</v>
      </c>
      <c r="B108" s="11" t="s">
        <v>643</v>
      </c>
      <c r="C108" s="6" t="s">
        <v>52</v>
      </c>
      <c r="D108" s="6" t="s">
        <v>828</v>
      </c>
      <c r="E108" s="6" t="s">
        <v>841</v>
      </c>
      <c r="F108" s="6" t="s">
        <v>81</v>
      </c>
      <c r="G108" s="15" t="str" cm="1">
        <f t="array" ref="G108">MultiMatchPrefix(Table_Data[[#This Row],[D ID]],Table_Mappings[Data ID],0,"",TRUE,";
")</f>
        <v/>
      </c>
    </row>
    <row r="109" spans="1:14" x14ac:dyDescent="0.25">
      <c r="A109" s="20" t="s">
        <v>842</v>
      </c>
      <c r="B109" s="11" t="s">
        <v>643</v>
      </c>
      <c r="C109" s="6" t="s">
        <v>52</v>
      </c>
      <c r="D109" s="6" t="s">
        <v>828</v>
      </c>
      <c r="E109" s="6" t="s">
        <v>843</v>
      </c>
      <c r="F109" s="6" t="s">
        <v>81</v>
      </c>
      <c r="G109" s="15" t="str" cm="1">
        <f t="array" ref="G109">MultiMatchPrefix(Table_Data[[#This Row],[D ID]],Table_Mappings[Data ID],0,"",TRUE,";
")</f>
        <v/>
      </c>
    </row>
    <row r="110" spans="1:14" ht="50" x14ac:dyDescent="0.25">
      <c r="A110" s="20" t="s">
        <v>369</v>
      </c>
      <c r="B110" s="11" t="s">
        <v>79</v>
      </c>
      <c r="C110" s="6" t="s">
        <v>844</v>
      </c>
      <c r="D110" s="17"/>
      <c r="E110" s="17"/>
      <c r="F110" s="6" t="s">
        <v>845</v>
      </c>
      <c r="G110" s="15" t="str" cm="1">
        <f t="array" ref="G110">MultiMatchPrefix(Table_Data[[#This Row],[D ID]],Table_Mappings[Data ID],0,"",TRUE,";
")</f>
        <v>02.01 Procurement planning of goods or kits;
02.05 Purchase Order management for goods or kits;
02.08 Procurement planning of services or works;
02.12 Purchase Order management for services or works</v>
      </c>
      <c r="I110" s="19" t="s">
        <v>2632</v>
      </c>
      <c r="J110" s="19" t="s">
        <v>2706</v>
      </c>
      <c r="K110" s="19" t="s">
        <v>2706</v>
      </c>
      <c r="N110" s="181">
        <v>100</v>
      </c>
    </row>
    <row r="111" spans="1:14" ht="25" x14ac:dyDescent="0.25">
      <c r="A111" s="20" t="s">
        <v>846</v>
      </c>
      <c r="B111" s="11" t="s">
        <v>640</v>
      </c>
      <c r="C111" s="6" t="s">
        <v>844</v>
      </c>
      <c r="D111" s="6" t="s">
        <v>847</v>
      </c>
      <c r="E111" s="17"/>
      <c r="F111" s="6" t="s">
        <v>81</v>
      </c>
      <c r="G111" s="15" t="str" cm="1">
        <f t="array" ref="G111">MultiMatchPrefix(Table_Data[[#This Row],[D ID]],Table_Mappings[Data ID],0,"",TRUE,";
")</f>
        <v/>
      </c>
      <c r="I111" s="19" t="s">
        <v>2632</v>
      </c>
      <c r="J111" s="19" t="s">
        <v>2706</v>
      </c>
      <c r="N111" s="181">
        <v>100</v>
      </c>
    </row>
    <row r="112" spans="1:14" ht="25" x14ac:dyDescent="0.25">
      <c r="A112" s="20" t="s">
        <v>848</v>
      </c>
      <c r="B112" s="11" t="s">
        <v>643</v>
      </c>
      <c r="C112" s="6" t="s">
        <v>844</v>
      </c>
      <c r="D112" s="6" t="s">
        <v>847</v>
      </c>
      <c r="E112" s="6" t="s">
        <v>849</v>
      </c>
      <c r="F112" s="6" t="s">
        <v>81</v>
      </c>
      <c r="G112" s="15" t="str" cm="1">
        <f t="array" ref="G112">MultiMatchPrefix(Table_Data[[#This Row],[D ID]],Table_Mappings[Data ID],0,"",TRUE,";
")</f>
        <v/>
      </c>
      <c r="I112" s="19" t="s">
        <v>2632</v>
      </c>
      <c r="J112" s="19" t="s">
        <v>2706</v>
      </c>
      <c r="K112" s="19" t="s">
        <v>2707</v>
      </c>
      <c r="M112" s="19" t="s">
        <v>2708</v>
      </c>
      <c r="N112" s="181">
        <v>100</v>
      </c>
    </row>
    <row r="113" spans="1:14" ht="25" x14ac:dyDescent="0.25">
      <c r="A113" s="20" t="s">
        <v>850</v>
      </c>
      <c r="B113" s="11" t="s">
        <v>643</v>
      </c>
      <c r="C113" s="6" t="s">
        <v>844</v>
      </c>
      <c r="D113" s="6" t="s">
        <v>847</v>
      </c>
      <c r="E113" s="6" t="s">
        <v>851</v>
      </c>
      <c r="F113" s="6" t="s">
        <v>81</v>
      </c>
      <c r="G113" s="15" t="str" cm="1">
        <f t="array" ref="G113">MultiMatchPrefix(Table_Data[[#This Row],[D ID]],Table_Mappings[Data ID],0,"",TRUE,";
")</f>
        <v/>
      </c>
      <c r="I113" s="19" t="s">
        <v>2632</v>
      </c>
      <c r="J113" s="19" t="s">
        <v>2706</v>
      </c>
      <c r="K113" s="19" t="s">
        <v>2707</v>
      </c>
      <c r="M113" s="19" t="s">
        <v>2708</v>
      </c>
      <c r="N113" s="181">
        <v>100</v>
      </c>
    </row>
    <row r="114" spans="1:14" ht="37.5" x14ac:dyDescent="0.25">
      <c r="A114" s="20" t="s">
        <v>852</v>
      </c>
      <c r="B114" s="11" t="s">
        <v>643</v>
      </c>
      <c r="C114" s="6" t="s">
        <v>844</v>
      </c>
      <c r="D114" s="6" t="s">
        <v>847</v>
      </c>
      <c r="E114" s="6" t="s">
        <v>853</v>
      </c>
      <c r="F114" s="6" t="s">
        <v>854</v>
      </c>
      <c r="G114" s="15" t="str" cm="1">
        <f t="array" ref="G114">MultiMatchPrefix(Table_Data[[#This Row],[D ID]],Table_Mappings[Data ID],0,"",TRUE,";
")</f>
        <v/>
      </c>
      <c r="I114" s="19" t="s">
        <v>2632</v>
      </c>
      <c r="J114" s="19" t="s">
        <v>2706</v>
      </c>
      <c r="M114" s="19" t="s">
        <v>2711</v>
      </c>
      <c r="N114" s="181">
        <v>100</v>
      </c>
    </row>
    <row r="115" spans="1:14" ht="25" x14ac:dyDescent="0.25">
      <c r="A115" s="20" t="s">
        <v>855</v>
      </c>
      <c r="B115" s="11" t="s">
        <v>643</v>
      </c>
      <c r="C115" s="6" t="s">
        <v>844</v>
      </c>
      <c r="D115" s="6" t="s">
        <v>847</v>
      </c>
      <c r="E115" s="6" t="s">
        <v>856</v>
      </c>
      <c r="F115" s="6" t="s">
        <v>81</v>
      </c>
      <c r="G115" s="15" t="str" cm="1">
        <f t="array" ref="G115">MultiMatchPrefix(Table_Data[[#This Row],[D ID]],Table_Mappings[Data ID],0,"",TRUE,";
")</f>
        <v/>
      </c>
      <c r="I115" s="19" t="s">
        <v>2632</v>
      </c>
      <c r="J115" s="19" t="s">
        <v>2706</v>
      </c>
      <c r="K115" s="19" t="s">
        <v>2709</v>
      </c>
      <c r="L115" s="19" t="s">
        <v>2710</v>
      </c>
      <c r="N115" s="181">
        <v>100</v>
      </c>
    </row>
    <row r="116" spans="1:14" ht="50" x14ac:dyDescent="0.25">
      <c r="A116" s="20" t="s">
        <v>371</v>
      </c>
      <c r="B116" s="11" t="s">
        <v>79</v>
      </c>
      <c r="C116" s="6" t="s">
        <v>857</v>
      </c>
      <c r="D116" s="17"/>
      <c r="E116" s="17"/>
      <c r="F116" s="6" t="s">
        <v>858</v>
      </c>
      <c r="G116" s="15" t="str" cm="1">
        <f t="array" ref="G116">MultiMatchPrefix(Table_Data[[#This Row],[D ID]],Table_Mappings[Data ID],0,"",TRUE,";
")</f>
        <v>02.01 Procurement planning of goods or kits;
02.05 Purchase Order management for goods or kits;
02.08 Procurement planning of services or works;
02.12 Purchase Order management for services or works</v>
      </c>
      <c r="I116" s="19" t="s">
        <v>2730</v>
      </c>
      <c r="N116" s="181">
        <v>100</v>
      </c>
    </row>
    <row r="117" spans="1:14" x14ac:dyDescent="0.25">
      <c r="A117" s="20" t="s">
        <v>859</v>
      </c>
      <c r="B117" s="11" t="s">
        <v>640</v>
      </c>
      <c r="C117" s="6" t="s">
        <v>857</v>
      </c>
      <c r="D117" s="6" t="s">
        <v>860</v>
      </c>
      <c r="E117" s="17"/>
      <c r="F117" s="6" t="s">
        <v>81</v>
      </c>
      <c r="G117" s="15" t="str" cm="1">
        <f t="array" ref="G117">MultiMatchPrefix(Table_Data[[#This Row],[D ID]],Table_Mappings[Data ID],0,"",TRUE,";
")</f>
        <v/>
      </c>
    </row>
    <row r="118" spans="1:14" x14ac:dyDescent="0.25">
      <c r="A118" s="20" t="s">
        <v>861</v>
      </c>
      <c r="B118" s="11" t="s">
        <v>643</v>
      </c>
      <c r="C118" s="6" t="s">
        <v>857</v>
      </c>
      <c r="D118" s="6" t="s">
        <v>860</v>
      </c>
      <c r="E118" s="6" t="s">
        <v>862</v>
      </c>
      <c r="F118" s="6" t="s">
        <v>81</v>
      </c>
      <c r="G118" s="15" t="str" cm="1">
        <f t="array" ref="G118">MultiMatchPrefix(Table_Data[[#This Row],[D ID]],Table_Mappings[Data ID],0,"",TRUE,";
")</f>
        <v/>
      </c>
    </row>
    <row r="119" spans="1:14" x14ac:dyDescent="0.25">
      <c r="A119" s="20" t="s">
        <v>863</v>
      </c>
      <c r="B119" s="11" t="s">
        <v>643</v>
      </c>
      <c r="C119" s="6" t="s">
        <v>857</v>
      </c>
      <c r="D119" s="6" t="s">
        <v>860</v>
      </c>
      <c r="E119" s="6" t="s">
        <v>721</v>
      </c>
      <c r="F119" s="6" t="s">
        <v>81</v>
      </c>
      <c r="G119" s="15" t="str" cm="1">
        <f t="array" ref="G119">MultiMatchPrefix(Table_Data[[#This Row],[D ID]],Table_Mappings[Data ID],0,"",TRUE,";
")</f>
        <v/>
      </c>
    </row>
    <row r="120" spans="1:14" x14ac:dyDescent="0.25">
      <c r="A120" s="20" t="s">
        <v>864</v>
      </c>
      <c r="B120" s="11" t="s">
        <v>643</v>
      </c>
      <c r="C120" s="6" t="s">
        <v>857</v>
      </c>
      <c r="D120" s="6" t="s">
        <v>860</v>
      </c>
      <c r="E120" s="6" t="s">
        <v>723</v>
      </c>
      <c r="F120" s="6" t="s">
        <v>81</v>
      </c>
      <c r="G120" s="15" t="str" cm="1">
        <f t="array" ref="G120">MultiMatchPrefix(Table_Data[[#This Row],[D ID]],Table_Mappings[Data ID],0,"",TRUE,";
")</f>
        <v/>
      </c>
    </row>
    <row r="121" spans="1:14" x14ac:dyDescent="0.25">
      <c r="A121" s="20" t="s">
        <v>865</v>
      </c>
      <c r="B121" s="11" t="s">
        <v>643</v>
      </c>
      <c r="C121" s="6" t="s">
        <v>857</v>
      </c>
      <c r="D121" s="6" t="s">
        <v>860</v>
      </c>
      <c r="E121" s="6" t="s">
        <v>866</v>
      </c>
      <c r="F121" s="6" t="s">
        <v>81</v>
      </c>
      <c r="G121" s="15" t="str" cm="1">
        <f t="array" ref="G121">MultiMatchPrefix(Table_Data[[#This Row],[D ID]],Table_Mappings[Data ID],0,"",TRUE,";
")</f>
        <v/>
      </c>
    </row>
    <row r="122" spans="1:14" x14ac:dyDescent="0.25">
      <c r="A122" s="20" t="s">
        <v>867</v>
      </c>
      <c r="B122" s="11" t="s">
        <v>643</v>
      </c>
      <c r="C122" s="6" t="s">
        <v>857</v>
      </c>
      <c r="D122" s="6" t="s">
        <v>860</v>
      </c>
      <c r="E122" s="6" t="s">
        <v>868</v>
      </c>
      <c r="F122" s="6" t="s">
        <v>81</v>
      </c>
      <c r="G122" s="15" t="str" cm="1">
        <f t="array" ref="G122">MultiMatchPrefix(Table_Data[[#This Row],[D ID]],Table_Mappings[Data ID],0,"",TRUE,";
")</f>
        <v/>
      </c>
    </row>
    <row r="123" spans="1:14" x14ac:dyDescent="0.25">
      <c r="A123" s="20" t="s">
        <v>869</v>
      </c>
      <c r="B123" s="11" t="s">
        <v>643</v>
      </c>
      <c r="C123" s="6" t="s">
        <v>857</v>
      </c>
      <c r="D123" s="6" t="s">
        <v>860</v>
      </c>
      <c r="E123" s="6" t="s">
        <v>870</v>
      </c>
      <c r="F123" s="6" t="s">
        <v>81</v>
      </c>
      <c r="G123" s="15" t="str" cm="1">
        <f t="array" ref="G123">MultiMatchPrefix(Table_Data[[#This Row],[D ID]],Table_Mappings[Data ID],0,"",TRUE,";
")</f>
        <v/>
      </c>
    </row>
    <row r="124" spans="1:14" ht="13" x14ac:dyDescent="0.25">
      <c r="A124" s="20" t="s">
        <v>871</v>
      </c>
      <c r="B124" s="11" t="s">
        <v>643</v>
      </c>
      <c r="C124" s="153" t="s">
        <v>857</v>
      </c>
      <c r="D124" s="153" t="s">
        <v>860</v>
      </c>
      <c r="E124" s="153" t="s">
        <v>694</v>
      </c>
      <c r="F124" s="6" t="s">
        <v>692</v>
      </c>
      <c r="G124" s="15" t="str" cm="1">
        <f t="array" ref="G124">MultiMatchPrefix(Table_Data[[#This Row],[D ID]],Table_Mappings[Data ID],0,"",TRUE,";
")</f>
        <v/>
      </c>
    </row>
    <row r="125" spans="1:14" x14ac:dyDescent="0.25">
      <c r="A125" s="20" t="s">
        <v>872</v>
      </c>
      <c r="B125" s="11" t="s">
        <v>643</v>
      </c>
      <c r="C125" s="6" t="s">
        <v>857</v>
      </c>
      <c r="D125" s="6" t="s">
        <v>860</v>
      </c>
      <c r="E125" s="6" t="s">
        <v>783</v>
      </c>
      <c r="F125" s="6" t="s">
        <v>81</v>
      </c>
      <c r="G125" s="15" t="str" cm="1">
        <f t="array" ref="G125">MultiMatchPrefix(Table_Data[[#This Row],[D ID]],Table_Mappings[Data ID],0,"",TRUE,";
")</f>
        <v/>
      </c>
    </row>
    <row r="126" spans="1:14" x14ac:dyDescent="0.25">
      <c r="A126" s="20" t="s">
        <v>873</v>
      </c>
      <c r="B126" s="11" t="s">
        <v>640</v>
      </c>
      <c r="C126" s="6" t="s">
        <v>857</v>
      </c>
      <c r="D126" s="6" t="s">
        <v>874</v>
      </c>
      <c r="E126" s="17"/>
      <c r="F126" s="6" t="s">
        <v>81</v>
      </c>
      <c r="G126" s="15" t="str" cm="1">
        <f t="array" ref="G126">MultiMatchPrefix(Table_Data[[#This Row],[D ID]],Table_Mappings[Data ID],0,"",TRUE,";
")</f>
        <v/>
      </c>
    </row>
    <row r="127" spans="1:14" x14ac:dyDescent="0.25">
      <c r="A127" s="20" t="s">
        <v>875</v>
      </c>
      <c r="B127" s="11" t="s">
        <v>643</v>
      </c>
      <c r="C127" s="6" t="s">
        <v>857</v>
      </c>
      <c r="D127" s="6" t="s">
        <v>874</v>
      </c>
      <c r="E127" s="6" t="s">
        <v>644</v>
      </c>
      <c r="F127" s="6" t="s">
        <v>81</v>
      </c>
      <c r="G127" s="15" t="str" cm="1">
        <f t="array" ref="G127">MultiMatchPrefix(Table_Data[[#This Row],[D ID]],Table_Mappings[Data ID],0,"",TRUE,";
")</f>
        <v/>
      </c>
    </row>
    <row r="128" spans="1:14" x14ac:dyDescent="0.25">
      <c r="A128" s="20" t="s">
        <v>876</v>
      </c>
      <c r="B128" s="11" t="s">
        <v>643</v>
      </c>
      <c r="C128" s="6" t="s">
        <v>857</v>
      </c>
      <c r="D128" s="6" t="s">
        <v>874</v>
      </c>
      <c r="E128" s="6" t="s">
        <v>650</v>
      </c>
      <c r="F128" s="6" t="s">
        <v>81</v>
      </c>
      <c r="G128" s="15" t="str" cm="1">
        <f t="array" ref="G128">MultiMatchPrefix(Table_Data[[#This Row],[D ID]],Table_Mappings[Data ID],0,"",TRUE,";
")</f>
        <v/>
      </c>
    </row>
    <row r="129" spans="1:10" x14ac:dyDescent="0.25">
      <c r="A129" s="20" t="s">
        <v>877</v>
      </c>
      <c r="B129" s="11" t="s">
        <v>643</v>
      </c>
      <c r="C129" s="6" t="s">
        <v>857</v>
      </c>
      <c r="D129" s="6" t="s">
        <v>874</v>
      </c>
      <c r="E129" s="6" t="s">
        <v>878</v>
      </c>
      <c r="F129" s="6" t="s">
        <v>81</v>
      </c>
      <c r="G129" s="15" t="str" cm="1">
        <f t="array" ref="G129">MultiMatchPrefix(Table_Data[[#This Row],[D ID]],Table_Mappings[Data ID],0,"",TRUE,";
")</f>
        <v/>
      </c>
    </row>
    <row r="130" spans="1:10" x14ac:dyDescent="0.25">
      <c r="A130" s="20" t="s">
        <v>879</v>
      </c>
      <c r="B130" s="11" t="s">
        <v>643</v>
      </c>
      <c r="C130" s="6" t="s">
        <v>857</v>
      </c>
      <c r="D130" s="6" t="s">
        <v>874</v>
      </c>
      <c r="E130" s="6" t="s">
        <v>880</v>
      </c>
      <c r="F130" s="6" t="s">
        <v>81</v>
      </c>
      <c r="G130" s="15" t="str" cm="1">
        <f t="array" ref="G130">MultiMatchPrefix(Table_Data[[#This Row],[D ID]],Table_Mappings[Data ID],0,"",TRUE,";
")</f>
        <v/>
      </c>
    </row>
    <row r="131" spans="1:10" x14ac:dyDescent="0.25">
      <c r="A131" s="20" t="s">
        <v>881</v>
      </c>
      <c r="B131" s="11" t="s">
        <v>643</v>
      </c>
      <c r="C131" s="6" t="s">
        <v>857</v>
      </c>
      <c r="D131" s="6" t="s">
        <v>874</v>
      </c>
      <c r="E131" s="6" t="s">
        <v>882</v>
      </c>
      <c r="F131" s="6" t="s">
        <v>81</v>
      </c>
      <c r="G131" s="15" t="str" cm="1">
        <f t="array" ref="G131">MultiMatchPrefix(Table_Data[[#This Row],[D ID]],Table_Mappings[Data ID],0,"",TRUE,";
")</f>
        <v/>
      </c>
    </row>
    <row r="132" spans="1:10" x14ac:dyDescent="0.25">
      <c r="A132" s="20" t="s">
        <v>883</v>
      </c>
      <c r="B132" s="11" t="s">
        <v>643</v>
      </c>
      <c r="C132" s="6" t="s">
        <v>857</v>
      </c>
      <c r="D132" s="6" t="s">
        <v>874</v>
      </c>
      <c r="E132" s="6" t="s">
        <v>781</v>
      </c>
      <c r="F132" s="6" t="s">
        <v>81</v>
      </c>
      <c r="G132" s="15" t="str" cm="1">
        <f t="array" ref="G132">MultiMatchPrefix(Table_Data[[#This Row],[D ID]],Table_Mappings[Data ID],0,"",TRUE,";
")</f>
        <v/>
      </c>
    </row>
    <row r="133" spans="1:10" x14ac:dyDescent="0.25">
      <c r="A133" s="20" t="s">
        <v>884</v>
      </c>
      <c r="B133" s="11" t="s">
        <v>643</v>
      </c>
      <c r="C133" s="6" t="s">
        <v>857</v>
      </c>
      <c r="D133" s="6" t="s">
        <v>874</v>
      </c>
      <c r="E133" s="6" t="s">
        <v>868</v>
      </c>
      <c r="F133" s="6" t="s">
        <v>81</v>
      </c>
      <c r="G133" s="15" t="str" cm="1">
        <f t="array" ref="G133">MultiMatchPrefix(Table_Data[[#This Row],[D ID]],Table_Mappings[Data ID],0,"",TRUE,";
")</f>
        <v/>
      </c>
    </row>
    <row r="134" spans="1:10" x14ac:dyDescent="0.25">
      <c r="A134" s="20" t="s">
        <v>885</v>
      </c>
      <c r="B134" s="11" t="s">
        <v>643</v>
      </c>
      <c r="C134" s="6" t="s">
        <v>857</v>
      </c>
      <c r="D134" s="6" t="s">
        <v>874</v>
      </c>
      <c r="E134" s="6" t="s">
        <v>870</v>
      </c>
      <c r="F134" s="6" t="s">
        <v>81</v>
      </c>
      <c r="G134" s="15" t="str" cm="1">
        <f t="array" ref="G134">MultiMatchPrefix(Table_Data[[#This Row],[D ID]],Table_Mappings[Data ID],0,"",TRUE,";
")</f>
        <v/>
      </c>
    </row>
    <row r="135" spans="1:10" x14ac:dyDescent="0.25">
      <c r="A135" s="20" t="s">
        <v>886</v>
      </c>
      <c r="B135" s="11" t="s">
        <v>643</v>
      </c>
      <c r="C135" s="6" t="s">
        <v>857</v>
      </c>
      <c r="D135" s="6" t="s">
        <v>874</v>
      </c>
      <c r="E135" s="6" t="s">
        <v>887</v>
      </c>
      <c r="F135" s="6" t="s">
        <v>81</v>
      </c>
      <c r="G135" s="15" t="str" cm="1">
        <f t="array" ref="G135">MultiMatchPrefix(Table_Data[[#This Row],[D ID]],Table_Mappings[Data ID],0,"",TRUE,";
")</f>
        <v/>
      </c>
    </row>
    <row r="136" spans="1:10" x14ac:dyDescent="0.25">
      <c r="A136" s="20" t="s">
        <v>888</v>
      </c>
      <c r="B136" s="11" t="s">
        <v>643</v>
      </c>
      <c r="C136" s="6" t="s">
        <v>857</v>
      </c>
      <c r="D136" s="6" t="s">
        <v>874</v>
      </c>
      <c r="E136" s="6" t="s">
        <v>889</v>
      </c>
      <c r="F136" s="6" t="s">
        <v>81</v>
      </c>
      <c r="G136" s="15" t="str" cm="1">
        <f t="array" ref="G136">MultiMatchPrefix(Table_Data[[#This Row],[D ID]],Table_Mappings[Data ID],0,"",TRUE,";
")</f>
        <v/>
      </c>
    </row>
    <row r="137" spans="1:10" ht="62.5" x14ac:dyDescent="0.25">
      <c r="A137" s="20" t="s">
        <v>390</v>
      </c>
      <c r="B137" s="11" t="s">
        <v>79</v>
      </c>
      <c r="C137" s="6" t="s">
        <v>890</v>
      </c>
      <c r="D137" s="17"/>
      <c r="E137" s="17"/>
      <c r="F137" s="6" t="s">
        <v>891</v>
      </c>
      <c r="G137" s="15" t="str" cm="1">
        <f t="array" ref="G137">MultiMatchPrefix(Table_Data[[#This Row],[D ID]],Table_Mappings[Data ID],0,"",TRUE,";
")</f>
        <v>02.05 Purchase Order management for goods or kits;
02.12 Purchase Order management for services or works</v>
      </c>
      <c r="I137" s="19" t="s">
        <v>2733</v>
      </c>
      <c r="J137" s="19" t="s">
        <v>957</v>
      </c>
    </row>
    <row r="138" spans="1:10" x14ac:dyDescent="0.25">
      <c r="A138" s="20" t="s">
        <v>892</v>
      </c>
      <c r="B138" s="11" t="s">
        <v>640</v>
      </c>
      <c r="C138" s="6" t="s">
        <v>890</v>
      </c>
      <c r="D138" s="6" t="s">
        <v>893</v>
      </c>
      <c r="E138" s="17"/>
      <c r="F138" s="6" t="s">
        <v>81</v>
      </c>
      <c r="G138" s="15" t="str" cm="1">
        <f t="array" ref="G138">MultiMatchPrefix(Table_Data[[#This Row],[D ID]],Table_Mappings[Data ID],0,"",TRUE,";
")</f>
        <v/>
      </c>
    </row>
    <row r="139" spans="1:10" x14ac:dyDescent="0.25">
      <c r="A139" s="20" t="s">
        <v>894</v>
      </c>
      <c r="B139" s="11" t="s">
        <v>643</v>
      </c>
      <c r="C139" s="6" t="s">
        <v>890</v>
      </c>
      <c r="D139" s="6" t="s">
        <v>893</v>
      </c>
      <c r="E139" s="6" t="s">
        <v>895</v>
      </c>
      <c r="F139" s="6" t="s">
        <v>81</v>
      </c>
      <c r="G139" s="15" t="str" cm="1">
        <f t="array" ref="G139">MultiMatchPrefix(Table_Data[[#This Row],[D ID]],Table_Mappings[Data ID],0,"",TRUE,";
")</f>
        <v/>
      </c>
    </row>
    <row r="140" spans="1:10" x14ac:dyDescent="0.25">
      <c r="A140" s="20" t="s">
        <v>896</v>
      </c>
      <c r="B140" s="11" t="s">
        <v>643</v>
      </c>
      <c r="C140" s="6" t="s">
        <v>890</v>
      </c>
      <c r="D140" s="6" t="s">
        <v>893</v>
      </c>
      <c r="E140" s="6" t="s">
        <v>897</v>
      </c>
      <c r="F140" s="6" t="s">
        <v>81</v>
      </c>
      <c r="G140" s="15" t="str" cm="1">
        <f t="array" ref="G140">MultiMatchPrefix(Table_Data[[#This Row],[D ID]],Table_Mappings[Data ID],0,"",TRUE,";
")</f>
        <v/>
      </c>
    </row>
    <row r="141" spans="1:10" x14ac:dyDescent="0.25">
      <c r="A141" s="20" t="s">
        <v>898</v>
      </c>
      <c r="B141" s="11" t="s">
        <v>643</v>
      </c>
      <c r="C141" s="6" t="s">
        <v>890</v>
      </c>
      <c r="D141" s="6" t="s">
        <v>893</v>
      </c>
      <c r="E141" s="6" t="s">
        <v>899</v>
      </c>
      <c r="F141" s="6" t="s">
        <v>81</v>
      </c>
      <c r="G141" s="15" t="str" cm="1">
        <f t="array" ref="G141">MultiMatchPrefix(Table_Data[[#This Row],[D ID]],Table_Mappings[Data ID],0,"",TRUE,";
")</f>
        <v/>
      </c>
    </row>
    <row r="142" spans="1:10" x14ac:dyDescent="0.25">
      <c r="A142" s="20" t="s">
        <v>900</v>
      </c>
      <c r="B142" s="11" t="s">
        <v>643</v>
      </c>
      <c r="C142" s="6" t="s">
        <v>890</v>
      </c>
      <c r="D142" s="6" t="s">
        <v>893</v>
      </c>
      <c r="E142" s="6" t="s">
        <v>741</v>
      </c>
      <c r="F142" s="6" t="s">
        <v>81</v>
      </c>
      <c r="G142" s="15" t="str" cm="1">
        <f t="array" ref="G142">MultiMatchPrefix(Table_Data[[#This Row],[D ID]],Table_Mappings[Data ID],0,"",TRUE,";
")</f>
        <v/>
      </c>
    </row>
    <row r="143" spans="1:10" x14ac:dyDescent="0.25">
      <c r="A143" s="20" t="s">
        <v>901</v>
      </c>
      <c r="B143" s="11" t="s">
        <v>643</v>
      </c>
      <c r="C143" s="6" t="s">
        <v>890</v>
      </c>
      <c r="D143" s="6" t="s">
        <v>893</v>
      </c>
      <c r="E143" s="6" t="s">
        <v>902</v>
      </c>
      <c r="F143" s="6" t="s">
        <v>903</v>
      </c>
      <c r="G143" s="15" t="str" cm="1">
        <f t="array" ref="G143">MultiMatchPrefix(Table_Data[[#This Row],[D ID]],Table_Mappings[Data ID],0,"",TRUE,";
")</f>
        <v/>
      </c>
    </row>
    <row r="144" spans="1:10" x14ac:dyDescent="0.25">
      <c r="A144" s="20" t="s">
        <v>904</v>
      </c>
      <c r="B144" s="11" t="s">
        <v>643</v>
      </c>
      <c r="C144" s="6" t="s">
        <v>890</v>
      </c>
      <c r="D144" s="6" t="s">
        <v>893</v>
      </c>
      <c r="E144" s="6" t="s">
        <v>905</v>
      </c>
      <c r="F144" s="6" t="s">
        <v>906</v>
      </c>
      <c r="G144" s="15" t="str" cm="1">
        <f t="array" ref="G144">MultiMatchPrefix(Table_Data[[#This Row],[D ID]],Table_Mappings[Data ID],0,"",TRUE,";
")</f>
        <v/>
      </c>
    </row>
    <row r="145" spans="1:12" x14ac:dyDescent="0.25">
      <c r="A145" s="20" t="s">
        <v>907</v>
      </c>
      <c r="B145" s="11" t="s">
        <v>643</v>
      </c>
      <c r="C145" s="6" t="s">
        <v>890</v>
      </c>
      <c r="D145" s="6" t="s">
        <v>893</v>
      </c>
      <c r="E145" s="6" t="s">
        <v>870</v>
      </c>
      <c r="F145" s="6" t="s">
        <v>81</v>
      </c>
      <c r="G145" s="15" t="str" cm="1">
        <f t="array" ref="G145">MultiMatchPrefix(Table_Data[[#This Row],[D ID]],Table_Mappings[Data ID],0,"",TRUE,";
")</f>
        <v/>
      </c>
    </row>
    <row r="146" spans="1:12" x14ac:dyDescent="0.25">
      <c r="A146" s="20" t="s">
        <v>908</v>
      </c>
      <c r="B146" s="11" t="s">
        <v>643</v>
      </c>
      <c r="C146" s="6" t="s">
        <v>890</v>
      </c>
      <c r="D146" s="6" t="s">
        <v>893</v>
      </c>
      <c r="E146" s="6" t="s">
        <v>909</v>
      </c>
      <c r="F146" s="6" t="s">
        <v>910</v>
      </c>
      <c r="G146" s="15" t="str" cm="1">
        <f t="array" ref="G146">MultiMatchPrefix(Table_Data[[#This Row],[D ID]],Table_Mappings[Data ID],0,"",TRUE,";
")</f>
        <v/>
      </c>
    </row>
    <row r="147" spans="1:12" x14ac:dyDescent="0.25">
      <c r="A147" s="20" t="s">
        <v>911</v>
      </c>
      <c r="B147" s="11" t="s">
        <v>640</v>
      </c>
      <c r="C147" s="6" t="s">
        <v>890</v>
      </c>
      <c r="D147" s="6" t="s">
        <v>912</v>
      </c>
      <c r="E147" s="17"/>
      <c r="F147" s="6" t="s">
        <v>81</v>
      </c>
      <c r="G147" s="15" t="str" cm="1">
        <f t="array" ref="G147">MultiMatchPrefix(Table_Data[[#This Row],[D ID]],Table_Mappings[Data ID],0,"",TRUE,";
")</f>
        <v/>
      </c>
    </row>
    <row r="148" spans="1:12" x14ac:dyDescent="0.25">
      <c r="A148" s="20" t="s">
        <v>913</v>
      </c>
      <c r="B148" s="11" t="s">
        <v>643</v>
      </c>
      <c r="C148" s="6" t="s">
        <v>890</v>
      </c>
      <c r="D148" s="6" t="s">
        <v>912</v>
      </c>
      <c r="E148" s="6" t="s">
        <v>644</v>
      </c>
      <c r="F148" s="6" t="s">
        <v>81</v>
      </c>
      <c r="G148" s="15" t="str" cm="1">
        <f t="array" ref="G148">MultiMatchPrefix(Table_Data[[#This Row],[D ID]],Table_Mappings[Data ID],0,"",TRUE,";
")</f>
        <v/>
      </c>
    </row>
    <row r="149" spans="1:12" ht="25" x14ac:dyDescent="0.25">
      <c r="A149" s="20" t="s">
        <v>914</v>
      </c>
      <c r="B149" s="11" t="s">
        <v>643</v>
      </c>
      <c r="C149" s="6" t="s">
        <v>890</v>
      </c>
      <c r="D149" s="6" t="s">
        <v>912</v>
      </c>
      <c r="E149" s="6" t="s">
        <v>915</v>
      </c>
      <c r="F149" s="6" t="s">
        <v>916</v>
      </c>
      <c r="G149" s="15" t="str" cm="1">
        <f t="array" ref="G149">MultiMatchPrefix(Table_Data[[#This Row],[D ID]],Table_Mappings[Data ID],0,"",TRUE,";
")</f>
        <v/>
      </c>
    </row>
    <row r="150" spans="1:12" x14ac:dyDescent="0.25">
      <c r="A150" s="20" t="s">
        <v>917</v>
      </c>
      <c r="B150" s="11" t="s">
        <v>643</v>
      </c>
      <c r="C150" s="6" t="s">
        <v>890</v>
      </c>
      <c r="D150" s="6" t="s">
        <v>912</v>
      </c>
      <c r="E150" s="6" t="s">
        <v>635</v>
      </c>
      <c r="F150" s="6" t="s">
        <v>81</v>
      </c>
      <c r="G150" s="15" t="str" cm="1">
        <f t="array" ref="G150">MultiMatchPrefix(Table_Data[[#This Row],[D ID]],Table_Mappings[Data ID],0,"",TRUE,";
")</f>
        <v/>
      </c>
    </row>
    <row r="151" spans="1:12" x14ac:dyDescent="0.25">
      <c r="A151" s="20" t="s">
        <v>918</v>
      </c>
      <c r="B151" s="11" t="s">
        <v>643</v>
      </c>
      <c r="C151" s="6" t="s">
        <v>890</v>
      </c>
      <c r="D151" s="6" t="s">
        <v>912</v>
      </c>
      <c r="E151" s="6" t="s">
        <v>650</v>
      </c>
      <c r="F151" s="6" t="s">
        <v>81</v>
      </c>
      <c r="G151" s="15" t="str" cm="1">
        <f t="array" ref="G151">MultiMatchPrefix(Table_Data[[#This Row],[D ID]],Table_Mappings[Data ID],0,"",TRUE,";
")</f>
        <v/>
      </c>
    </row>
    <row r="152" spans="1:12" x14ac:dyDescent="0.25">
      <c r="A152" s="20" t="s">
        <v>919</v>
      </c>
      <c r="B152" s="11" t="s">
        <v>643</v>
      </c>
      <c r="C152" s="6" t="s">
        <v>890</v>
      </c>
      <c r="D152" s="6" t="s">
        <v>912</v>
      </c>
      <c r="E152" s="6" t="s">
        <v>880</v>
      </c>
      <c r="F152" s="6" t="s">
        <v>81</v>
      </c>
      <c r="G152" s="15" t="str" cm="1">
        <f t="array" ref="G152">MultiMatchPrefix(Table_Data[[#This Row],[D ID]],Table_Mappings[Data ID],0,"",TRUE,";
")</f>
        <v/>
      </c>
    </row>
    <row r="153" spans="1:12" x14ac:dyDescent="0.25">
      <c r="A153" s="20" t="s">
        <v>920</v>
      </c>
      <c r="B153" s="11" t="s">
        <v>643</v>
      </c>
      <c r="C153" s="6" t="s">
        <v>890</v>
      </c>
      <c r="D153" s="6" t="s">
        <v>912</v>
      </c>
      <c r="E153" s="6" t="s">
        <v>882</v>
      </c>
      <c r="F153" s="6" t="s">
        <v>81</v>
      </c>
      <c r="G153" s="15" t="str" cm="1">
        <f t="array" ref="G153">MultiMatchPrefix(Table_Data[[#This Row],[D ID]],Table_Mappings[Data ID],0,"",TRUE,";
")</f>
        <v/>
      </c>
    </row>
    <row r="154" spans="1:12" x14ac:dyDescent="0.25">
      <c r="A154" s="20" t="s">
        <v>921</v>
      </c>
      <c r="B154" s="11" t="s">
        <v>643</v>
      </c>
      <c r="C154" s="6" t="s">
        <v>890</v>
      </c>
      <c r="D154" s="6" t="s">
        <v>912</v>
      </c>
      <c r="E154" s="6" t="s">
        <v>781</v>
      </c>
      <c r="F154" s="6" t="s">
        <v>81</v>
      </c>
      <c r="G154" s="15" t="str" cm="1">
        <f t="array" ref="G154">MultiMatchPrefix(Table_Data[[#This Row],[D ID]],Table_Mappings[Data ID],0,"",TRUE,";
")</f>
        <v/>
      </c>
      <c r="K154" s="19" t="s">
        <v>781</v>
      </c>
      <c r="L154" s="19" t="s">
        <v>2630</v>
      </c>
    </row>
    <row r="155" spans="1:12" x14ac:dyDescent="0.25">
      <c r="A155" s="20" t="s">
        <v>922</v>
      </c>
      <c r="B155" s="11" t="s">
        <v>643</v>
      </c>
      <c r="C155" s="6" t="s">
        <v>890</v>
      </c>
      <c r="D155" s="6" t="s">
        <v>912</v>
      </c>
      <c r="E155" s="6" t="s">
        <v>721</v>
      </c>
      <c r="F155" s="6" t="s">
        <v>81</v>
      </c>
      <c r="G155" s="15" t="str" cm="1">
        <f t="array" ref="G155">MultiMatchPrefix(Table_Data[[#This Row],[D ID]],Table_Mappings[Data ID],0,"",TRUE,";
")</f>
        <v/>
      </c>
    </row>
    <row r="156" spans="1:12" x14ac:dyDescent="0.25">
      <c r="A156" s="20" t="s">
        <v>923</v>
      </c>
      <c r="B156" s="11" t="s">
        <v>643</v>
      </c>
      <c r="C156" s="6" t="s">
        <v>890</v>
      </c>
      <c r="D156" s="6" t="s">
        <v>912</v>
      </c>
      <c r="E156" s="6" t="s">
        <v>897</v>
      </c>
      <c r="F156" s="6" t="s">
        <v>81</v>
      </c>
      <c r="G156" s="15" t="str" cm="1">
        <f t="array" ref="G156">MultiMatchPrefix(Table_Data[[#This Row],[D ID]],Table_Mappings[Data ID],0,"",TRUE,";
")</f>
        <v/>
      </c>
    </row>
    <row r="157" spans="1:12" x14ac:dyDescent="0.25">
      <c r="A157" s="20" t="s">
        <v>924</v>
      </c>
      <c r="B157" s="11" t="s">
        <v>643</v>
      </c>
      <c r="C157" s="6" t="s">
        <v>890</v>
      </c>
      <c r="D157" s="6" t="s">
        <v>912</v>
      </c>
      <c r="E157" s="6" t="s">
        <v>925</v>
      </c>
      <c r="F157" s="6" t="s">
        <v>81</v>
      </c>
      <c r="G157" s="15" t="str" cm="1">
        <f t="array" ref="G157">MultiMatchPrefix(Table_Data[[#This Row],[D ID]],Table_Mappings[Data ID],0,"",TRUE,";
")</f>
        <v/>
      </c>
    </row>
    <row r="158" spans="1:12" x14ac:dyDescent="0.25">
      <c r="A158" s="20" t="s">
        <v>926</v>
      </c>
      <c r="B158" s="11" t="s">
        <v>643</v>
      </c>
      <c r="C158" s="6" t="s">
        <v>890</v>
      </c>
      <c r="D158" s="6" t="s">
        <v>912</v>
      </c>
      <c r="E158" s="6" t="s">
        <v>870</v>
      </c>
      <c r="F158" s="6" t="s">
        <v>81</v>
      </c>
      <c r="G158" s="15" t="str" cm="1">
        <f t="array" ref="G158">MultiMatchPrefix(Table_Data[[#This Row],[D ID]],Table_Mappings[Data ID],0,"",TRUE,";
")</f>
        <v/>
      </c>
    </row>
    <row r="159" spans="1:12" x14ac:dyDescent="0.25">
      <c r="A159" s="20" t="s">
        <v>927</v>
      </c>
      <c r="B159" s="11" t="s">
        <v>643</v>
      </c>
      <c r="C159" s="6" t="s">
        <v>890</v>
      </c>
      <c r="D159" s="6" t="s">
        <v>912</v>
      </c>
      <c r="E159" s="6" t="s">
        <v>928</v>
      </c>
      <c r="F159" s="6" t="s">
        <v>81</v>
      </c>
      <c r="G159" s="15" t="str" cm="1">
        <f t="array" ref="G159">MultiMatchPrefix(Table_Data[[#This Row],[D ID]],Table_Mappings[Data ID],0,"",TRUE,";
")</f>
        <v/>
      </c>
    </row>
    <row r="160" spans="1:12" x14ac:dyDescent="0.25">
      <c r="A160" s="20" t="s">
        <v>929</v>
      </c>
      <c r="B160" s="11" t="s">
        <v>643</v>
      </c>
      <c r="C160" s="6" t="s">
        <v>890</v>
      </c>
      <c r="D160" s="6" t="s">
        <v>912</v>
      </c>
      <c r="E160" s="6" t="s">
        <v>930</v>
      </c>
      <c r="F160" s="6" t="s">
        <v>81</v>
      </c>
      <c r="G160" s="15" t="str" cm="1">
        <f t="array" ref="G160">MultiMatchPrefix(Table_Data[[#This Row],[D ID]],Table_Mappings[Data ID],0,"",TRUE,";
")</f>
        <v/>
      </c>
    </row>
    <row r="161" spans="1:14" x14ac:dyDescent="0.25">
      <c r="A161" s="20" t="s">
        <v>931</v>
      </c>
      <c r="B161" s="11" t="s">
        <v>640</v>
      </c>
      <c r="C161" s="6" t="s">
        <v>890</v>
      </c>
      <c r="D161" s="6" t="s">
        <v>932</v>
      </c>
      <c r="E161" s="17"/>
      <c r="F161" s="6" t="s">
        <v>81</v>
      </c>
      <c r="G161" s="15" t="str" cm="1">
        <f t="array" ref="G161">MultiMatchPrefix(Table_Data[[#This Row],[D ID]],Table_Mappings[Data ID],0,"",TRUE,";
")</f>
        <v/>
      </c>
      <c r="I161" s="19" t="s">
        <v>2632</v>
      </c>
      <c r="J161" s="19" t="s">
        <v>715</v>
      </c>
      <c r="K161" s="19" t="s">
        <v>715</v>
      </c>
      <c r="L161" s="19" t="s">
        <v>2612</v>
      </c>
      <c r="N161" s="181">
        <v>100</v>
      </c>
    </row>
    <row r="162" spans="1:14" ht="13" x14ac:dyDescent="0.25">
      <c r="A162" s="20" t="s">
        <v>933</v>
      </c>
      <c r="B162" s="11" t="s">
        <v>643</v>
      </c>
      <c r="C162" s="153" t="s">
        <v>890</v>
      </c>
      <c r="D162" s="153" t="s">
        <v>932</v>
      </c>
      <c r="E162" s="153" t="s">
        <v>694</v>
      </c>
      <c r="F162" s="6" t="s">
        <v>692</v>
      </c>
      <c r="G162" s="15" t="str" cm="1">
        <f t="array" ref="G162">MultiMatchPrefix(Table_Data[[#This Row],[D ID]],Table_Mappings[Data ID],0,"",TRUE,";
")</f>
        <v/>
      </c>
      <c r="I162" s="19" t="s">
        <v>2632</v>
      </c>
      <c r="J162" s="19" t="s">
        <v>715</v>
      </c>
      <c r="M162" s="19" t="s">
        <v>2673</v>
      </c>
      <c r="N162" s="181">
        <v>100</v>
      </c>
    </row>
    <row r="163" spans="1:14" x14ac:dyDescent="0.25">
      <c r="A163" s="20" t="s">
        <v>934</v>
      </c>
      <c r="B163" s="11" t="s">
        <v>640</v>
      </c>
      <c r="C163" s="6" t="s">
        <v>890</v>
      </c>
      <c r="D163" s="6" t="s">
        <v>785</v>
      </c>
      <c r="E163" s="17"/>
      <c r="F163" s="6" t="s">
        <v>81</v>
      </c>
      <c r="G163" s="15" t="str" cm="1">
        <f t="array" ref="G163">MultiMatchPrefix(Table_Data[[#This Row],[D ID]],Table_Mappings[Data ID],0,"",TRUE,";
")</f>
        <v/>
      </c>
    </row>
    <row r="164" spans="1:14" x14ac:dyDescent="0.25">
      <c r="A164" s="20" t="s">
        <v>935</v>
      </c>
      <c r="B164" s="11" t="s">
        <v>643</v>
      </c>
      <c r="C164" s="6" t="s">
        <v>890</v>
      </c>
      <c r="D164" s="6" t="s">
        <v>785</v>
      </c>
      <c r="E164" s="6" t="s">
        <v>936</v>
      </c>
      <c r="F164" s="6" t="s">
        <v>81</v>
      </c>
      <c r="G164" s="15" t="str" cm="1">
        <f t="array" ref="G164">MultiMatchPrefix(Table_Data[[#This Row],[D ID]],Table_Mappings[Data ID],0,"",TRUE,";
")</f>
        <v/>
      </c>
    </row>
    <row r="165" spans="1:14" ht="50" x14ac:dyDescent="0.25">
      <c r="A165" s="20" t="s">
        <v>392</v>
      </c>
      <c r="B165" s="11" t="s">
        <v>79</v>
      </c>
      <c r="C165" s="6" t="s">
        <v>937</v>
      </c>
      <c r="D165" s="17"/>
      <c r="E165" s="17"/>
      <c r="F165" s="6" t="s">
        <v>938</v>
      </c>
      <c r="G165" s="15" t="str" cm="1">
        <f t="array" ref="G165">MultiMatchPrefix(Table_Data[[#This Row],[D ID]],Table_Mappings[Data ID],0,"",TRUE,";
")</f>
        <v>02.05 Purchase Order management for goods or kits;
02.12 Purchase Order management for services or works</v>
      </c>
      <c r="I165" s="19" t="s">
        <v>2733</v>
      </c>
      <c r="J165" s="19" t="s">
        <v>957</v>
      </c>
    </row>
    <row r="166" spans="1:14" x14ac:dyDescent="0.25">
      <c r="A166" s="20" t="s">
        <v>939</v>
      </c>
      <c r="B166" s="11" t="s">
        <v>640</v>
      </c>
      <c r="C166" s="6" t="s">
        <v>937</v>
      </c>
      <c r="D166" s="6" t="s">
        <v>940</v>
      </c>
      <c r="E166" s="17"/>
      <c r="F166" s="6" t="s">
        <v>81</v>
      </c>
      <c r="G166" s="15" t="str" cm="1">
        <f t="array" ref="G166">MultiMatchPrefix(Table_Data[[#This Row],[D ID]],Table_Mappings[Data ID],0,"",TRUE,";
")</f>
        <v/>
      </c>
    </row>
    <row r="167" spans="1:14" x14ac:dyDescent="0.25">
      <c r="A167" s="20" t="s">
        <v>941</v>
      </c>
      <c r="B167" s="11" t="s">
        <v>643</v>
      </c>
      <c r="C167" s="6" t="s">
        <v>937</v>
      </c>
      <c r="D167" s="6" t="s">
        <v>940</v>
      </c>
      <c r="E167" s="6" t="s">
        <v>942</v>
      </c>
      <c r="F167" s="6" t="s">
        <v>81</v>
      </c>
      <c r="G167" s="15" t="str" cm="1">
        <f t="array" ref="G167">MultiMatchPrefix(Table_Data[[#This Row],[D ID]],Table_Mappings[Data ID],0,"",TRUE,";
")</f>
        <v/>
      </c>
    </row>
    <row r="168" spans="1:14" x14ac:dyDescent="0.25">
      <c r="A168" s="20" t="s">
        <v>943</v>
      </c>
      <c r="B168" s="11" t="s">
        <v>643</v>
      </c>
      <c r="C168" s="6" t="s">
        <v>937</v>
      </c>
      <c r="D168" s="6" t="s">
        <v>940</v>
      </c>
      <c r="E168" s="6" t="s">
        <v>944</v>
      </c>
      <c r="F168" s="6" t="s">
        <v>81</v>
      </c>
      <c r="G168" s="15" t="str" cm="1">
        <f t="array" ref="G168">MultiMatchPrefix(Table_Data[[#This Row],[D ID]],Table_Mappings[Data ID],0,"",TRUE,";
")</f>
        <v/>
      </c>
    </row>
    <row r="169" spans="1:14" x14ac:dyDescent="0.25">
      <c r="A169" s="20" t="s">
        <v>945</v>
      </c>
      <c r="B169" s="11" t="s">
        <v>643</v>
      </c>
      <c r="C169" s="6" t="s">
        <v>937</v>
      </c>
      <c r="D169" s="6" t="s">
        <v>940</v>
      </c>
      <c r="E169" s="6" t="s">
        <v>946</v>
      </c>
      <c r="F169" s="6" t="s">
        <v>947</v>
      </c>
      <c r="G169" s="15" t="str" cm="1">
        <f t="array" ref="G169">MultiMatchPrefix(Table_Data[[#This Row],[D ID]],Table_Mappings[Data ID],0,"",TRUE,";
")</f>
        <v/>
      </c>
    </row>
    <row r="170" spans="1:14" ht="25" x14ac:dyDescent="0.25">
      <c r="A170" s="20" t="s">
        <v>948</v>
      </c>
      <c r="B170" s="11" t="s">
        <v>643</v>
      </c>
      <c r="C170" s="6" t="s">
        <v>937</v>
      </c>
      <c r="D170" s="6" t="s">
        <v>940</v>
      </c>
      <c r="E170" s="6" t="s">
        <v>949</v>
      </c>
      <c r="F170" s="6" t="s">
        <v>950</v>
      </c>
      <c r="G170" s="15" t="str" cm="1">
        <f t="array" ref="G170">MultiMatchPrefix(Table_Data[[#This Row],[D ID]],Table_Mappings[Data ID],0,"",TRUE,";
")</f>
        <v/>
      </c>
    </row>
    <row r="171" spans="1:14" ht="25" x14ac:dyDescent="0.25">
      <c r="A171" s="20" t="s">
        <v>951</v>
      </c>
      <c r="B171" s="11" t="s">
        <v>643</v>
      </c>
      <c r="C171" s="6" t="s">
        <v>937</v>
      </c>
      <c r="D171" s="6" t="s">
        <v>940</v>
      </c>
      <c r="E171" s="6" t="s">
        <v>952</v>
      </c>
      <c r="F171" s="6" t="s">
        <v>953</v>
      </c>
      <c r="G171" s="15" t="str" cm="1">
        <f t="array" ref="G171">MultiMatchPrefix(Table_Data[[#This Row],[D ID]],Table_Mappings[Data ID],0,"",TRUE,";
")</f>
        <v/>
      </c>
    </row>
    <row r="172" spans="1:14" ht="25" x14ac:dyDescent="0.25">
      <c r="A172" s="20" t="s">
        <v>954</v>
      </c>
      <c r="B172" s="11" t="s">
        <v>643</v>
      </c>
      <c r="C172" s="6" t="s">
        <v>937</v>
      </c>
      <c r="D172" s="6" t="s">
        <v>940</v>
      </c>
      <c r="E172" s="6" t="s">
        <v>955</v>
      </c>
      <c r="F172" s="6" t="s">
        <v>956</v>
      </c>
      <c r="G172" s="15" t="str" cm="1">
        <f t="array" ref="G172">MultiMatchPrefix(Table_Data[[#This Row],[D ID]],Table_Mappings[Data ID],0,"",TRUE,";
")</f>
        <v/>
      </c>
    </row>
    <row r="173" spans="1:14" ht="150" x14ac:dyDescent="0.25">
      <c r="A173" s="20" t="s">
        <v>394</v>
      </c>
      <c r="B173" s="11" t="s">
        <v>79</v>
      </c>
      <c r="C173" s="6" t="s">
        <v>957</v>
      </c>
      <c r="D173" s="17"/>
      <c r="E173" s="17"/>
      <c r="F173" s="6" t="s">
        <v>958</v>
      </c>
      <c r="G173" s="15" t="str" cm="1">
        <f t="array" ref="G173">MultiMatchPrefix(Table_Data[[#This Row],[D ID]],Table_Mappings[Data ID],0,"",TRUE,";
")</f>
        <v xml:space="preserve">02.05 Purchase Order management for goods or kits;
02.06 Invoice matching and payment;
02.07 Donation (Request for in kind donation);
02.12 Purchase Order management for services or works;
02.13 Confirmation of service delivered ;
02.14 Invoice matching and payment;
02.15 Donation (Request for donation of service or works);
03.02 Reception of goods or kits;
03.03 Reception for direct delivery ;
10.01 Donor Funding Compliance;
10.05 Donor Reporting;
10.09 Consortium Reporting </v>
      </c>
      <c r="I173" s="19" t="s">
        <v>2733</v>
      </c>
      <c r="J173" s="19" t="s">
        <v>957</v>
      </c>
    </row>
    <row r="174" spans="1:14" x14ac:dyDescent="0.25">
      <c r="A174" s="20" t="s">
        <v>959</v>
      </c>
      <c r="B174" s="11" t="s">
        <v>640</v>
      </c>
      <c r="C174" s="6" t="s">
        <v>957</v>
      </c>
      <c r="D174" s="6" t="s">
        <v>58</v>
      </c>
      <c r="E174" s="17"/>
      <c r="F174" s="6" t="s">
        <v>960</v>
      </c>
      <c r="G174" s="15" t="str" cm="1">
        <f t="array" ref="G174">MultiMatchPrefix(Table_Data[[#This Row],[D ID]],Table_Mappings[Data ID],0,"",TRUE,";
")</f>
        <v/>
      </c>
    </row>
    <row r="175" spans="1:14" x14ac:dyDescent="0.25">
      <c r="A175" s="20" t="s">
        <v>961</v>
      </c>
      <c r="B175" s="11" t="s">
        <v>643</v>
      </c>
      <c r="C175" s="6" t="s">
        <v>957</v>
      </c>
      <c r="D175" s="6" t="s">
        <v>58</v>
      </c>
      <c r="E175" s="6" t="s">
        <v>925</v>
      </c>
      <c r="F175" s="6" t="s">
        <v>962</v>
      </c>
      <c r="G175" s="15" t="str" cm="1">
        <f t="array" ref="G175">MultiMatchPrefix(Table_Data[[#This Row],[D ID]],Table_Mappings[Data ID],0,"",TRUE,";
")</f>
        <v/>
      </c>
    </row>
    <row r="176" spans="1:14" x14ac:dyDescent="0.25">
      <c r="A176" s="20" t="s">
        <v>963</v>
      </c>
      <c r="B176" s="11" t="s">
        <v>643</v>
      </c>
      <c r="C176" s="6" t="s">
        <v>957</v>
      </c>
      <c r="D176" s="6" t="s">
        <v>58</v>
      </c>
      <c r="E176" s="6" t="s">
        <v>721</v>
      </c>
      <c r="F176" s="6" t="s">
        <v>964</v>
      </c>
      <c r="G176" s="15" t="str" cm="1">
        <f t="array" ref="G176">MultiMatchPrefix(Table_Data[[#This Row],[D ID]],Table_Mappings[Data ID],0,"",TRUE,";
")</f>
        <v/>
      </c>
    </row>
    <row r="177" spans="1:14" x14ac:dyDescent="0.25">
      <c r="A177" s="20" t="s">
        <v>965</v>
      </c>
      <c r="B177" s="11" t="s">
        <v>643</v>
      </c>
      <c r="C177" s="6" t="s">
        <v>957</v>
      </c>
      <c r="D177" s="6" t="s">
        <v>58</v>
      </c>
      <c r="E177" s="6" t="s">
        <v>723</v>
      </c>
      <c r="F177" s="6" t="s">
        <v>966</v>
      </c>
      <c r="G177" s="15" t="str" cm="1">
        <f t="array" ref="G177">MultiMatchPrefix(Table_Data[[#This Row],[D ID]],Table_Mappings[Data ID],0,"",TRUE,";
")</f>
        <v/>
      </c>
    </row>
    <row r="178" spans="1:14" x14ac:dyDescent="0.25">
      <c r="A178" s="20" t="s">
        <v>967</v>
      </c>
      <c r="B178" s="11" t="s">
        <v>643</v>
      </c>
      <c r="C178" s="6" t="s">
        <v>957</v>
      </c>
      <c r="D178" s="6" t="s">
        <v>58</v>
      </c>
      <c r="E178" s="6" t="s">
        <v>897</v>
      </c>
      <c r="F178" s="6" t="s">
        <v>81</v>
      </c>
      <c r="G178" s="15" t="str" cm="1">
        <f t="array" ref="G178">MultiMatchPrefix(Table_Data[[#This Row],[D ID]],Table_Mappings[Data ID],0,"",TRUE,";
")</f>
        <v/>
      </c>
    </row>
    <row r="179" spans="1:14" x14ac:dyDescent="0.25">
      <c r="A179" s="20" t="s">
        <v>968</v>
      </c>
      <c r="B179" s="11" t="s">
        <v>643</v>
      </c>
      <c r="C179" s="6" t="s">
        <v>957</v>
      </c>
      <c r="D179" s="6" t="s">
        <v>58</v>
      </c>
      <c r="E179" s="6" t="s">
        <v>969</v>
      </c>
      <c r="F179" s="6" t="s">
        <v>81</v>
      </c>
      <c r="G179" s="15" t="str" cm="1">
        <f t="array" ref="G179">MultiMatchPrefix(Table_Data[[#This Row],[D ID]],Table_Mappings[Data ID],0,"",TRUE,";
")</f>
        <v/>
      </c>
    </row>
    <row r="180" spans="1:14" x14ac:dyDescent="0.25">
      <c r="A180" s="20" t="s">
        <v>970</v>
      </c>
      <c r="B180" s="11" t="s">
        <v>643</v>
      </c>
      <c r="C180" s="6" t="s">
        <v>957</v>
      </c>
      <c r="D180" s="6" t="s">
        <v>58</v>
      </c>
      <c r="E180" s="6" t="s">
        <v>971</v>
      </c>
      <c r="F180" s="6" t="s">
        <v>81</v>
      </c>
      <c r="G180" s="15" t="str" cm="1">
        <f t="array" ref="G180">MultiMatchPrefix(Table_Data[[#This Row],[D ID]],Table_Mappings[Data ID],0,"",TRUE,";
")</f>
        <v/>
      </c>
    </row>
    <row r="181" spans="1:14" x14ac:dyDescent="0.25">
      <c r="A181" s="20" t="s">
        <v>972</v>
      </c>
      <c r="B181" s="11" t="s">
        <v>643</v>
      </c>
      <c r="C181" s="6" t="s">
        <v>957</v>
      </c>
      <c r="D181" s="6" t="s">
        <v>58</v>
      </c>
      <c r="E181" s="6" t="s">
        <v>930</v>
      </c>
      <c r="F181" s="6" t="s">
        <v>81</v>
      </c>
      <c r="G181" s="15" t="str" cm="1">
        <f t="array" ref="G181">MultiMatchPrefix(Table_Data[[#This Row],[D ID]],Table_Mappings[Data ID],0,"",TRUE,";
")</f>
        <v/>
      </c>
    </row>
    <row r="182" spans="1:14" x14ac:dyDescent="0.25">
      <c r="A182" s="20" t="s">
        <v>973</v>
      </c>
      <c r="B182" s="11" t="s">
        <v>643</v>
      </c>
      <c r="C182" s="6" t="s">
        <v>957</v>
      </c>
      <c r="D182" s="6" t="s">
        <v>58</v>
      </c>
      <c r="E182" s="6" t="s">
        <v>870</v>
      </c>
      <c r="F182" s="6" t="s">
        <v>81</v>
      </c>
      <c r="G182" s="15" t="str" cm="1">
        <f t="array" ref="G182">MultiMatchPrefix(Table_Data[[#This Row],[D ID]],Table_Mappings[Data ID],0,"",TRUE,";
")</f>
        <v/>
      </c>
    </row>
    <row r="183" spans="1:14" x14ac:dyDescent="0.25">
      <c r="A183" s="20" t="s">
        <v>974</v>
      </c>
      <c r="B183" s="11" t="s">
        <v>643</v>
      </c>
      <c r="C183" s="6" t="s">
        <v>957</v>
      </c>
      <c r="D183" s="6" t="s">
        <v>58</v>
      </c>
      <c r="E183" s="6" t="s">
        <v>975</v>
      </c>
      <c r="F183" s="6" t="s">
        <v>81</v>
      </c>
      <c r="G183" s="15" t="str" cm="1">
        <f t="array" ref="G183">MultiMatchPrefix(Table_Data[[#This Row],[D ID]],Table_Mappings[Data ID],0,"",TRUE,";
")</f>
        <v/>
      </c>
    </row>
    <row r="184" spans="1:14" ht="25" x14ac:dyDescent="0.25">
      <c r="A184" s="20" t="s">
        <v>976</v>
      </c>
      <c r="B184" s="11" t="s">
        <v>640</v>
      </c>
      <c r="C184" s="6" t="s">
        <v>957</v>
      </c>
      <c r="D184" s="6" t="s">
        <v>932</v>
      </c>
      <c r="E184" s="17"/>
      <c r="F184" s="6" t="s">
        <v>977</v>
      </c>
      <c r="G184" s="15" t="str" cm="1">
        <f t="array" ref="G184">MultiMatchPrefix(Table_Data[[#This Row],[D ID]],Table_Mappings[Data ID],0,"",TRUE,";
")</f>
        <v/>
      </c>
      <c r="I184" s="19" t="s">
        <v>2632</v>
      </c>
      <c r="J184" s="19" t="s">
        <v>715</v>
      </c>
      <c r="K184" s="19" t="s">
        <v>715</v>
      </c>
      <c r="L184" s="19" t="s">
        <v>2612</v>
      </c>
      <c r="N184" s="181">
        <v>100</v>
      </c>
    </row>
    <row r="185" spans="1:14" ht="13" x14ac:dyDescent="0.25">
      <c r="A185" s="20" t="s">
        <v>978</v>
      </c>
      <c r="B185" s="11" t="s">
        <v>643</v>
      </c>
      <c r="C185" s="153" t="s">
        <v>957</v>
      </c>
      <c r="D185" s="153" t="s">
        <v>932</v>
      </c>
      <c r="E185" s="153" t="s">
        <v>694</v>
      </c>
      <c r="F185" s="6" t="s">
        <v>692</v>
      </c>
      <c r="G185" s="15" t="str" cm="1">
        <f t="array" ref="G185">MultiMatchPrefix(Table_Data[[#This Row],[D ID]],Table_Mappings[Data ID],0,"",TRUE,";
")</f>
        <v/>
      </c>
      <c r="I185" s="19" t="s">
        <v>2632</v>
      </c>
      <c r="J185" s="19" t="s">
        <v>715</v>
      </c>
      <c r="M185" s="19" t="s">
        <v>2673</v>
      </c>
      <c r="N185" s="181">
        <v>100</v>
      </c>
    </row>
    <row r="186" spans="1:14" x14ac:dyDescent="0.25">
      <c r="A186" s="20" t="s">
        <v>979</v>
      </c>
      <c r="B186" s="11" t="s">
        <v>640</v>
      </c>
      <c r="C186" s="6" t="s">
        <v>957</v>
      </c>
      <c r="D186" s="6" t="s">
        <v>980</v>
      </c>
      <c r="E186" s="17"/>
      <c r="F186" s="6" t="s">
        <v>81</v>
      </c>
      <c r="G186" s="15" t="str" cm="1">
        <f t="array" ref="G186">MultiMatchPrefix(Table_Data[[#This Row],[D ID]],Table_Mappings[Data ID],0,"",TRUE,";
")</f>
        <v/>
      </c>
      <c r="I186" s="19" t="s">
        <v>2632</v>
      </c>
      <c r="J186" s="19" t="s">
        <v>715</v>
      </c>
      <c r="K186" s="19" t="s">
        <v>715</v>
      </c>
      <c r="L186" s="19" t="s">
        <v>2612</v>
      </c>
      <c r="N186" s="181">
        <v>100</v>
      </c>
    </row>
    <row r="187" spans="1:14" ht="13" x14ac:dyDescent="0.25">
      <c r="A187" s="20" t="s">
        <v>981</v>
      </c>
      <c r="B187" s="11" t="s">
        <v>643</v>
      </c>
      <c r="C187" s="153" t="s">
        <v>957</v>
      </c>
      <c r="D187" s="153" t="s">
        <v>980</v>
      </c>
      <c r="E187" s="153" t="s">
        <v>694</v>
      </c>
      <c r="F187" s="6" t="s">
        <v>692</v>
      </c>
      <c r="G187" s="15" t="str" cm="1">
        <f t="array" ref="G187">MultiMatchPrefix(Table_Data[[#This Row],[D ID]],Table_Mappings[Data ID],0,"",TRUE,";
")</f>
        <v/>
      </c>
      <c r="I187" s="19" t="s">
        <v>2632</v>
      </c>
      <c r="J187" s="19" t="s">
        <v>715</v>
      </c>
      <c r="M187" s="19" t="s">
        <v>2673</v>
      </c>
      <c r="N187" s="181">
        <v>100</v>
      </c>
    </row>
    <row r="188" spans="1:14" ht="25" x14ac:dyDescent="0.25">
      <c r="A188" s="20" t="s">
        <v>982</v>
      </c>
      <c r="B188" s="11" t="s">
        <v>640</v>
      </c>
      <c r="C188" s="6" t="s">
        <v>957</v>
      </c>
      <c r="D188" s="6" t="s">
        <v>785</v>
      </c>
      <c r="E188" s="17"/>
      <c r="F188" s="6" t="s">
        <v>983</v>
      </c>
      <c r="G188" s="15" t="str" cm="1">
        <f t="array" ref="G188">MultiMatchPrefix(Table_Data[[#This Row],[D ID]],Table_Mappings[Data ID],0,"",TRUE,";
")</f>
        <v/>
      </c>
    </row>
    <row r="189" spans="1:14" x14ac:dyDescent="0.25">
      <c r="A189" s="20" t="s">
        <v>984</v>
      </c>
      <c r="B189" s="11" t="s">
        <v>643</v>
      </c>
      <c r="C189" s="6" t="s">
        <v>957</v>
      </c>
      <c r="D189" s="6" t="s">
        <v>785</v>
      </c>
      <c r="E189" s="6" t="s">
        <v>652</v>
      </c>
      <c r="F189" s="6" t="s">
        <v>81</v>
      </c>
      <c r="G189" s="15" t="str" cm="1">
        <f t="array" ref="G189">MultiMatchPrefix(Table_Data[[#This Row],[D ID]],Table_Mappings[Data ID],0,"",TRUE,";
")</f>
        <v/>
      </c>
    </row>
    <row r="190" spans="1:14" x14ac:dyDescent="0.25">
      <c r="A190" s="20" t="s">
        <v>985</v>
      </c>
      <c r="B190" s="11" t="s">
        <v>643</v>
      </c>
      <c r="C190" s="6" t="s">
        <v>957</v>
      </c>
      <c r="D190" s="6" t="s">
        <v>785</v>
      </c>
      <c r="E190" s="6" t="s">
        <v>986</v>
      </c>
      <c r="F190" s="6" t="s">
        <v>81</v>
      </c>
      <c r="G190" s="15" t="str" cm="1">
        <f t="array" ref="G190">MultiMatchPrefix(Table_Data[[#This Row],[D ID]],Table_Mappings[Data ID],0,"",TRUE,";
")</f>
        <v/>
      </c>
    </row>
    <row r="191" spans="1:14" x14ac:dyDescent="0.25">
      <c r="A191" s="20" t="s">
        <v>987</v>
      </c>
      <c r="B191" s="11" t="s">
        <v>643</v>
      </c>
      <c r="C191" s="6" t="s">
        <v>957</v>
      </c>
      <c r="D191" s="6" t="s">
        <v>785</v>
      </c>
      <c r="E191" s="6" t="s">
        <v>787</v>
      </c>
      <c r="F191" s="6" t="s">
        <v>81</v>
      </c>
      <c r="G191" s="15" t="str" cm="1">
        <f t="array" ref="G191">MultiMatchPrefix(Table_Data[[#This Row],[D ID]],Table_Mappings[Data ID],0,"",TRUE,";
")</f>
        <v/>
      </c>
    </row>
    <row r="192" spans="1:14" x14ac:dyDescent="0.25">
      <c r="A192" s="20" t="s">
        <v>988</v>
      </c>
      <c r="B192" s="11" t="s">
        <v>640</v>
      </c>
      <c r="C192" s="6" t="s">
        <v>957</v>
      </c>
      <c r="D192" s="6" t="s">
        <v>989</v>
      </c>
      <c r="E192" s="17"/>
      <c r="F192" s="6" t="s">
        <v>81</v>
      </c>
      <c r="G192" s="15" t="str" cm="1">
        <f t="array" ref="G192">MultiMatchPrefix(Table_Data[[#This Row],[D ID]],Table_Mappings[Data ID],0,"",TRUE,";
")</f>
        <v/>
      </c>
    </row>
    <row r="193" spans="1:14" x14ac:dyDescent="0.25">
      <c r="A193" s="20" t="s">
        <v>990</v>
      </c>
      <c r="B193" s="11" t="s">
        <v>643</v>
      </c>
      <c r="C193" s="6" t="s">
        <v>957</v>
      </c>
      <c r="D193" s="6" t="s">
        <v>989</v>
      </c>
      <c r="E193" s="6" t="s">
        <v>783</v>
      </c>
      <c r="F193" s="6" t="s">
        <v>81</v>
      </c>
      <c r="G193" s="15" t="str" cm="1">
        <f t="array" ref="G193">MultiMatchPrefix(Table_Data[[#This Row],[D ID]],Table_Mappings[Data ID],0,"",TRUE,";
")</f>
        <v/>
      </c>
    </row>
    <row r="194" spans="1:14" x14ac:dyDescent="0.25">
      <c r="A194" s="20" t="s">
        <v>991</v>
      </c>
      <c r="B194" s="11" t="s">
        <v>643</v>
      </c>
      <c r="C194" s="6" t="s">
        <v>957</v>
      </c>
      <c r="D194" s="6" t="s">
        <v>989</v>
      </c>
      <c r="E194" s="6" t="s">
        <v>781</v>
      </c>
      <c r="F194" s="6" t="s">
        <v>81</v>
      </c>
      <c r="G194" s="15" t="str" cm="1">
        <f t="array" ref="G194">MultiMatchPrefix(Table_Data[[#This Row],[D ID]],Table_Mappings[Data ID],0,"",TRUE,";
")</f>
        <v/>
      </c>
      <c r="K194" s="19" t="s">
        <v>781</v>
      </c>
      <c r="L194" s="19" t="s">
        <v>2630</v>
      </c>
    </row>
    <row r="195" spans="1:14" x14ac:dyDescent="0.25">
      <c r="A195" s="20" t="s">
        <v>992</v>
      </c>
      <c r="B195" s="11" t="s">
        <v>640</v>
      </c>
      <c r="C195" s="6" t="s">
        <v>957</v>
      </c>
      <c r="D195" s="6" t="s">
        <v>61</v>
      </c>
      <c r="E195" s="17"/>
      <c r="F195" s="6" t="s">
        <v>81</v>
      </c>
      <c r="G195" s="15" t="str" cm="1">
        <f t="array" ref="G195">MultiMatchPrefix(Table_Data[[#This Row],[D ID]],Table_Mappings[Data ID],0,"",TRUE,";
")</f>
        <v/>
      </c>
    </row>
    <row r="196" spans="1:14" x14ac:dyDescent="0.25">
      <c r="A196" s="20" t="s">
        <v>993</v>
      </c>
      <c r="B196" s="11" t="s">
        <v>643</v>
      </c>
      <c r="C196" s="6" t="s">
        <v>957</v>
      </c>
      <c r="D196" s="6" t="s">
        <v>61</v>
      </c>
      <c r="E196" s="6" t="s">
        <v>644</v>
      </c>
      <c r="F196" s="6" t="s">
        <v>81</v>
      </c>
      <c r="G196" s="15" t="str" cm="1">
        <f t="array" ref="G196">MultiMatchPrefix(Table_Data[[#This Row],[D ID]],Table_Mappings[Data ID],0,"",TRUE,";
")</f>
        <v/>
      </c>
    </row>
    <row r="197" spans="1:14" x14ac:dyDescent="0.25">
      <c r="A197" s="20" t="s">
        <v>994</v>
      </c>
      <c r="B197" s="11" t="s">
        <v>643</v>
      </c>
      <c r="C197" s="6" t="s">
        <v>957</v>
      </c>
      <c r="D197" s="6" t="s">
        <v>61</v>
      </c>
      <c r="E197" s="6" t="s">
        <v>650</v>
      </c>
      <c r="F197" s="6" t="s">
        <v>81</v>
      </c>
      <c r="G197" s="15" t="str" cm="1">
        <f t="array" ref="G197">MultiMatchPrefix(Table_Data[[#This Row],[D ID]],Table_Mappings[Data ID],0,"",TRUE,";
")</f>
        <v/>
      </c>
    </row>
    <row r="198" spans="1:14" x14ac:dyDescent="0.25">
      <c r="A198" s="20" t="s">
        <v>995</v>
      </c>
      <c r="B198" s="11" t="s">
        <v>643</v>
      </c>
      <c r="C198" s="6" t="s">
        <v>957</v>
      </c>
      <c r="D198" s="6" t="s">
        <v>61</v>
      </c>
      <c r="E198" s="6" t="s">
        <v>878</v>
      </c>
      <c r="F198" s="6" t="s">
        <v>81</v>
      </c>
      <c r="G198" s="15" t="str" cm="1">
        <f t="array" ref="G198">MultiMatchPrefix(Table_Data[[#This Row],[D ID]],Table_Mappings[Data ID],0,"",TRUE,";
")</f>
        <v/>
      </c>
    </row>
    <row r="199" spans="1:14" x14ac:dyDescent="0.25">
      <c r="A199" s="20" t="s">
        <v>996</v>
      </c>
      <c r="B199" s="11" t="s">
        <v>643</v>
      </c>
      <c r="C199" s="6" t="s">
        <v>957</v>
      </c>
      <c r="D199" s="6" t="s">
        <v>61</v>
      </c>
      <c r="E199" s="6" t="s">
        <v>882</v>
      </c>
      <c r="F199" s="6" t="s">
        <v>81</v>
      </c>
      <c r="G199" s="15" t="str" cm="1">
        <f t="array" ref="G199">MultiMatchPrefix(Table_Data[[#This Row],[D ID]],Table_Mappings[Data ID],0,"",TRUE,";
")</f>
        <v/>
      </c>
    </row>
    <row r="200" spans="1:14" x14ac:dyDescent="0.25">
      <c r="A200" s="20" t="s">
        <v>997</v>
      </c>
      <c r="B200" s="11" t="s">
        <v>643</v>
      </c>
      <c r="C200" s="6" t="s">
        <v>957</v>
      </c>
      <c r="D200" s="6" t="s">
        <v>61</v>
      </c>
      <c r="E200" s="6" t="s">
        <v>998</v>
      </c>
      <c r="F200" s="6" t="s">
        <v>81</v>
      </c>
      <c r="G200" s="15" t="str" cm="1">
        <f t="array" ref="G200">MultiMatchPrefix(Table_Data[[#This Row],[D ID]],Table_Mappings[Data ID],0,"",TRUE,";
")</f>
        <v/>
      </c>
    </row>
    <row r="201" spans="1:14" x14ac:dyDescent="0.25">
      <c r="A201" s="20" t="s">
        <v>999</v>
      </c>
      <c r="B201" s="11" t="s">
        <v>643</v>
      </c>
      <c r="C201" s="6" t="s">
        <v>957</v>
      </c>
      <c r="D201" s="6" t="s">
        <v>61</v>
      </c>
      <c r="E201" s="6" t="s">
        <v>652</v>
      </c>
      <c r="F201" s="6" t="s">
        <v>81</v>
      </c>
      <c r="G201" s="15" t="str" cm="1">
        <f t="array" ref="G201">MultiMatchPrefix(Table_Data[[#This Row],[D ID]],Table_Mappings[Data ID],0,"",TRUE,";
")</f>
        <v/>
      </c>
    </row>
    <row r="202" spans="1:14" x14ac:dyDescent="0.25">
      <c r="A202" s="20" t="s">
        <v>1000</v>
      </c>
      <c r="B202" s="11" t="s">
        <v>643</v>
      </c>
      <c r="C202" s="6" t="s">
        <v>957</v>
      </c>
      <c r="D202" s="6" t="s">
        <v>61</v>
      </c>
      <c r="E202" s="6" t="s">
        <v>971</v>
      </c>
      <c r="F202" s="6" t="s">
        <v>81</v>
      </c>
      <c r="G202" s="15" t="str" cm="1">
        <f t="array" ref="G202">MultiMatchPrefix(Table_Data[[#This Row],[D ID]],Table_Mappings[Data ID],0,"",TRUE,";
")</f>
        <v/>
      </c>
    </row>
    <row r="203" spans="1:14" x14ac:dyDescent="0.25">
      <c r="A203" s="20" t="s">
        <v>1001</v>
      </c>
      <c r="B203" s="11" t="s">
        <v>643</v>
      </c>
      <c r="C203" s="6" t="s">
        <v>957</v>
      </c>
      <c r="D203" s="6" t="s">
        <v>61</v>
      </c>
      <c r="E203" s="6" t="s">
        <v>930</v>
      </c>
      <c r="F203" s="6" t="s">
        <v>81</v>
      </c>
      <c r="G203" s="15" t="str" cm="1">
        <f t="array" ref="G203">MultiMatchPrefix(Table_Data[[#This Row],[D ID]],Table_Mappings[Data ID],0,"",TRUE,";
")</f>
        <v/>
      </c>
    </row>
    <row r="204" spans="1:14" x14ac:dyDescent="0.25">
      <c r="A204" s="20" t="s">
        <v>1002</v>
      </c>
      <c r="B204" s="11" t="s">
        <v>640</v>
      </c>
      <c r="C204" s="6" t="s">
        <v>957</v>
      </c>
      <c r="D204" s="6" t="s">
        <v>1003</v>
      </c>
      <c r="E204" s="17"/>
      <c r="F204" s="6" t="s">
        <v>1004</v>
      </c>
      <c r="G204" s="15" t="str" cm="1">
        <f t="array" ref="G204">MultiMatchPrefix(Table_Data[[#This Row],[D ID]],Table_Mappings[Data ID],0,"",TRUE,";
")</f>
        <v/>
      </c>
      <c r="I204" s="19" t="s">
        <v>2632</v>
      </c>
      <c r="J204" s="19" t="s">
        <v>715</v>
      </c>
      <c r="K204" s="19" t="s">
        <v>715</v>
      </c>
      <c r="L204" s="19" t="s">
        <v>2612</v>
      </c>
      <c r="N204" s="181">
        <v>100</v>
      </c>
    </row>
    <row r="205" spans="1:14" ht="13" x14ac:dyDescent="0.25">
      <c r="A205" s="20" t="s">
        <v>1005</v>
      </c>
      <c r="B205" s="11" t="s">
        <v>643</v>
      </c>
      <c r="C205" s="153" t="s">
        <v>957</v>
      </c>
      <c r="D205" s="153" t="s">
        <v>1003</v>
      </c>
      <c r="E205" s="153" t="s">
        <v>694</v>
      </c>
      <c r="F205" s="6" t="s">
        <v>692</v>
      </c>
      <c r="G205" s="15" t="str" cm="1">
        <f t="array" ref="G205">MultiMatchPrefix(Table_Data[[#This Row],[D ID]],Table_Mappings[Data ID],0,"",TRUE,";
")</f>
        <v/>
      </c>
      <c r="I205" s="19" t="s">
        <v>2632</v>
      </c>
      <c r="J205" s="19" t="s">
        <v>715</v>
      </c>
      <c r="M205" s="19" t="s">
        <v>2673</v>
      </c>
      <c r="N205" s="181">
        <v>100</v>
      </c>
    </row>
    <row r="206" spans="1:14" ht="25" x14ac:dyDescent="0.25">
      <c r="A206" s="20" t="s">
        <v>1006</v>
      </c>
      <c r="B206" s="11" t="s">
        <v>640</v>
      </c>
      <c r="C206" s="6" t="s">
        <v>957</v>
      </c>
      <c r="D206" s="6" t="s">
        <v>1007</v>
      </c>
      <c r="E206" s="17"/>
      <c r="F206" s="6" t="s">
        <v>1008</v>
      </c>
      <c r="G206" s="15" t="str" cm="1">
        <f t="array" ref="G206">MultiMatchPrefix(Table_Data[[#This Row],[D ID]],Table_Mappings[Data ID],0,"",TRUE,";
")</f>
        <v/>
      </c>
    </row>
    <row r="207" spans="1:14" x14ac:dyDescent="0.25">
      <c r="A207" s="20" t="s">
        <v>1009</v>
      </c>
      <c r="B207" s="11" t="s">
        <v>643</v>
      </c>
      <c r="C207" s="6" t="s">
        <v>957</v>
      </c>
      <c r="D207" s="6" t="s">
        <v>1007</v>
      </c>
      <c r="E207" s="6" t="s">
        <v>1010</v>
      </c>
      <c r="F207" s="6" t="s">
        <v>81</v>
      </c>
      <c r="G207" s="15" t="str" cm="1">
        <f t="array" ref="G207">MultiMatchPrefix(Table_Data[[#This Row],[D ID]],Table_Mappings[Data ID],0,"",TRUE,";
")</f>
        <v/>
      </c>
    </row>
    <row r="208" spans="1:14" x14ac:dyDescent="0.25">
      <c r="A208" s="20" t="s">
        <v>1011</v>
      </c>
      <c r="B208" s="11" t="s">
        <v>643</v>
      </c>
      <c r="C208" s="6" t="s">
        <v>957</v>
      </c>
      <c r="D208" s="6" t="s">
        <v>1007</v>
      </c>
      <c r="E208" s="6" t="s">
        <v>1012</v>
      </c>
      <c r="F208" s="6" t="s">
        <v>81</v>
      </c>
      <c r="G208" s="15" t="str" cm="1">
        <f t="array" ref="G208">MultiMatchPrefix(Table_Data[[#This Row],[D ID]],Table_Mappings[Data ID],0,"",TRUE,";
")</f>
        <v/>
      </c>
    </row>
    <row r="209" spans="1:10" x14ac:dyDescent="0.25">
      <c r="A209" s="20" t="s">
        <v>1013</v>
      </c>
      <c r="B209" s="11" t="s">
        <v>643</v>
      </c>
      <c r="C209" s="6" t="s">
        <v>957</v>
      </c>
      <c r="D209" s="6" t="s">
        <v>1007</v>
      </c>
      <c r="E209" s="6" t="s">
        <v>1014</v>
      </c>
      <c r="F209" s="6" t="s">
        <v>81</v>
      </c>
      <c r="G209" s="15" t="str" cm="1">
        <f t="array" ref="G209">MultiMatchPrefix(Table_Data[[#This Row],[D ID]],Table_Mappings[Data ID],0,"",TRUE,";
")</f>
        <v/>
      </c>
    </row>
    <row r="210" spans="1:10" x14ac:dyDescent="0.25">
      <c r="A210" s="20" t="s">
        <v>1015</v>
      </c>
      <c r="B210" s="11" t="s">
        <v>643</v>
      </c>
      <c r="C210" s="6" t="s">
        <v>957</v>
      </c>
      <c r="D210" s="6" t="s">
        <v>1007</v>
      </c>
      <c r="E210" s="6" t="s">
        <v>1016</v>
      </c>
      <c r="F210" s="6" t="s">
        <v>1017</v>
      </c>
      <c r="G210" s="15" t="str" cm="1">
        <f t="array" ref="G210">MultiMatchPrefix(Table_Data[[#This Row],[D ID]],Table_Mappings[Data ID],0,"",TRUE,";
")</f>
        <v/>
      </c>
    </row>
    <row r="211" spans="1:10" x14ac:dyDescent="0.25">
      <c r="A211" s="20" t="s">
        <v>1018</v>
      </c>
      <c r="B211" s="11" t="s">
        <v>643</v>
      </c>
      <c r="C211" s="6" t="s">
        <v>957</v>
      </c>
      <c r="D211" s="6" t="s">
        <v>1007</v>
      </c>
      <c r="E211" s="6" t="s">
        <v>1019</v>
      </c>
      <c r="F211" s="6" t="s">
        <v>81</v>
      </c>
      <c r="G211" s="15" t="str" cm="1">
        <f t="array" ref="G211">MultiMatchPrefix(Table_Data[[#This Row],[D ID]],Table_Mappings[Data ID],0,"",TRUE,";
")</f>
        <v/>
      </c>
    </row>
    <row r="212" spans="1:10" x14ac:dyDescent="0.25">
      <c r="A212" s="20" t="s">
        <v>1020</v>
      </c>
      <c r="B212" s="11" t="s">
        <v>643</v>
      </c>
      <c r="C212" s="6" t="s">
        <v>957</v>
      </c>
      <c r="D212" s="6" t="s">
        <v>1007</v>
      </c>
      <c r="E212" s="6" t="s">
        <v>1021</v>
      </c>
      <c r="F212" s="6" t="s">
        <v>81</v>
      </c>
      <c r="G212" s="15" t="str" cm="1">
        <f t="array" ref="G212">MultiMatchPrefix(Table_Data[[#This Row],[D ID]],Table_Mappings[Data ID],0,"",TRUE,";
")</f>
        <v/>
      </c>
    </row>
    <row r="213" spans="1:10" x14ac:dyDescent="0.25">
      <c r="A213" s="20" t="s">
        <v>1022</v>
      </c>
      <c r="B213" s="11" t="s">
        <v>640</v>
      </c>
      <c r="C213" s="6" t="s">
        <v>957</v>
      </c>
      <c r="D213" s="6" t="s">
        <v>785</v>
      </c>
      <c r="E213" s="17"/>
      <c r="F213" s="6" t="s">
        <v>81</v>
      </c>
      <c r="G213" s="15" t="str" cm="1">
        <f t="array" ref="G213">MultiMatchPrefix(Table_Data[[#This Row],[D ID]],Table_Mappings[Data ID],0,"",TRUE,";
")</f>
        <v/>
      </c>
    </row>
    <row r="214" spans="1:10" x14ac:dyDescent="0.25">
      <c r="A214" s="20" t="s">
        <v>1023</v>
      </c>
      <c r="B214" s="11" t="s">
        <v>643</v>
      </c>
      <c r="C214" s="6" t="s">
        <v>957</v>
      </c>
      <c r="D214" s="6" t="s">
        <v>785</v>
      </c>
      <c r="E214" s="6" t="s">
        <v>652</v>
      </c>
      <c r="F214" s="6" t="s">
        <v>81</v>
      </c>
      <c r="G214" s="15" t="str" cm="1">
        <f t="array" ref="G214">MultiMatchPrefix(Table_Data[[#This Row],[D ID]],Table_Mappings[Data ID],0,"",TRUE,";
")</f>
        <v/>
      </c>
    </row>
    <row r="215" spans="1:10" x14ac:dyDescent="0.25">
      <c r="A215" s="20" t="s">
        <v>1024</v>
      </c>
      <c r="B215" s="11" t="s">
        <v>640</v>
      </c>
      <c r="C215" s="6" t="s">
        <v>957</v>
      </c>
      <c r="D215" s="6" t="s">
        <v>1025</v>
      </c>
      <c r="E215" s="17"/>
      <c r="F215" s="6" t="s">
        <v>81</v>
      </c>
      <c r="G215" s="15" t="str" cm="1">
        <f t="array" ref="G215">MultiMatchPrefix(Table_Data[[#This Row],[D ID]],Table_Mappings[Data ID],0,"",TRUE,";
")</f>
        <v/>
      </c>
    </row>
    <row r="216" spans="1:10" x14ac:dyDescent="0.25">
      <c r="A216" s="20" t="s">
        <v>1026</v>
      </c>
      <c r="B216" s="11" t="s">
        <v>643</v>
      </c>
      <c r="C216" s="6" t="s">
        <v>957</v>
      </c>
      <c r="D216" s="6" t="s">
        <v>1025</v>
      </c>
      <c r="E216" s="6" t="s">
        <v>870</v>
      </c>
      <c r="F216" s="6" t="s">
        <v>81</v>
      </c>
      <c r="G216" s="15" t="str" cm="1">
        <f t="array" ref="G216">MultiMatchPrefix(Table_Data[[#This Row],[D ID]],Table_Mappings[Data ID],0,"",TRUE,";
")</f>
        <v/>
      </c>
    </row>
    <row r="217" spans="1:10" x14ac:dyDescent="0.25">
      <c r="A217" s="20" t="s">
        <v>1027</v>
      </c>
      <c r="B217" s="11" t="s">
        <v>643</v>
      </c>
      <c r="C217" s="6" t="s">
        <v>957</v>
      </c>
      <c r="D217" s="6" t="s">
        <v>1025</v>
      </c>
      <c r="E217" s="6" t="s">
        <v>928</v>
      </c>
      <c r="F217" s="6" t="s">
        <v>1028</v>
      </c>
      <c r="G217" s="15" t="str" cm="1">
        <f t="array" ref="G217">MultiMatchPrefix(Table_Data[[#This Row],[D ID]],Table_Mappings[Data ID],0,"",TRUE,";
")</f>
        <v/>
      </c>
    </row>
    <row r="218" spans="1:10" ht="50" x14ac:dyDescent="0.25">
      <c r="A218" s="20" t="s">
        <v>396</v>
      </c>
      <c r="B218" s="11" t="s">
        <v>79</v>
      </c>
      <c r="C218" s="6" t="s">
        <v>1029</v>
      </c>
      <c r="D218" s="17"/>
      <c r="E218" s="17"/>
      <c r="F218" s="6" t="s">
        <v>1030</v>
      </c>
      <c r="G218" s="15" t="str" cm="1">
        <f t="array" ref="G218">MultiMatchPrefix(Table_Data[[#This Row],[D ID]],Table_Mappings[Data ID],0,"",TRUE,";
")</f>
        <v>02.05 Purchase Order management for goods or kits;
02.12 Purchase Order management for services or works</v>
      </c>
      <c r="I218" s="19" t="s">
        <v>2733</v>
      </c>
      <c r="J218" s="19" t="s">
        <v>2735</v>
      </c>
    </row>
    <row r="219" spans="1:10" x14ac:dyDescent="0.25">
      <c r="A219" s="20" t="s">
        <v>1031</v>
      </c>
      <c r="B219" s="11" t="s">
        <v>640</v>
      </c>
      <c r="C219" s="6" t="s">
        <v>1029</v>
      </c>
      <c r="D219" s="6" t="s">
        <v>940</v>
      </c>
      <c r="E219" s="17"/>
      <c r="F219" s="6" t="s">
        <v>81</v>
      </c>
      <c r="G219" s="15" t="str" cm="1">
        <f t="array" ref="G219">MultiMatchPrefix(Table_Data[[#This Row],[D ID]],Table_Mappings[Data ID],0,"",TRUE,";
")</f>
        <v/>
      </c>
    </row>
    <row r="220" spans="1:10" x14ac:dyDescent="0.25">
      <c r="A220" s="20" t="s">
        <v>1032</v>
      </c>
      <c r="B220" s="11" t="s">
        <v>643</v>
      </c>
      <c r="C220" s="6" t="s">
        <v>1029</v>
      </c>
      <c r="D220" s="6" t="s">
        <v>940</v>
      </c>
      <c r="E220" s="6" t="s">
        <v>942</v>
      </c>
      <c r="F220" s="6" t="s">
        <v>81</v>
      </c>
      <c r="G220" s="15" t="str" cm="1">
        <f t="array" ref="G220">MultiMatchPrefix(Table_Data[[#This Row],[D ID]],Table_Mappings[Data ID],0,"",TRUE,";
")</f>
        <v/>
      </c>
    </row>
    <row r="221" spans="1:10" x14ac:dyDescent="0.25">
      <c r="A221" s="20" t="s">
        <v>1033</v>
      </c>
      <c r="B221" s="11" t="s">
        <v>643</v>
      </c>
      <c r="C221" s="6" t="s">
        <v>1029</v>
      </c>
      <c r="D221" s="6" t="s">
        <v>940</v>
      </c>
      <c r="E221" s="6" t="s">
        <v>944</v>
      </c>
      <c r="F221" s="6" t="s">
        <v>81</v>
      </c>
      <c r="G221" s="15" t="str" cm="1">
        <f t="array" ref="G221">MultiMatchPrefix(Table_Data[[#This Row],[D ID]],Table_Mappings[Data ID],0,"",TRUE,";
")</f>
        <v/>
      </c>
    </row>
    <row r="222" spans="1:10" x14ac:dyDescent="0.25">
      <c r="A222" s="20" t="s">
        <v>1034</v>
      </c>
      <c r="B222" s="11" t="s">
        <v>643</v>
      </c>
      <c r="C222" s="6" t="s">
        <v>1029</v>
      </c>
      <c r="D222" s="6" t="s">
        <v>940</v>
      </c>
      <c r="E222" s="6" t="s">
        <v>946</v>
      </c>
      <c r="F222" s="6" t="s">
        <v>947</v>
      </c>
      <c r="G222" s="15" t="str" cm="1">
        <f t="array" ref="G222">MultiMatchPrefix(Table_Data[[#This Row],[D ID]],Table_Mappings[Data ID],0,"",TRUE,";
")</f>
        <v/>
      </c>
    </row>
    <row r="223" spans="1:10" ht="25" x14ac:dyDescent="0.25">
      <c r="A223" s="20" t="s">
        <v>1035</v>
      </c>
      <c r="B223" s="11" t="s">
        <v>643</v>
      </c>
      <c r="C223" s="6" t="s">
        <v>1029</v>
      </c>
      <c r="D223" s="6" t="s">
        <v>940</v>
      </c>
      <c r="E223" s="6" t="s">
        <v>949</v>
      </c>
      <c r="F223" s="6" t="s">
        <v>950</v>
      </c>
      <c r="G223" s="15" t="str" cm="1">
        <f t="array" ref="G223">MultiMatchPrefix(Table_Data[[#This Row],[D ID]],Table_Mappings[Data ID],0,"",TRUE,";
")</f>
        <v/>
      </c>
    </row>
    <row r="224" spans="1:10" ht="25" x14ac:dyDescent="0.25">
      <c r="A224" s="20" t="s">
        <v>1036</v>
      </c>
      <c r="B224" s="11" t="s">
        <v>643</v>
      </c>
      <c r="C224" s="6" t="s">
        <v>1029</v>
      </c>
      <c r="D224" s="6" t="s">
        <v>940</v>
      </c>
      <c r="E224" s="6" t="s">
        <v>952</v>
      </c>
      <c r="F224" s="6" t="s">
        <v>1037</v>
      </c>
      <c r="G224" s="15" t="str" cm="1">
        <f t="array" ref="G224">MultiMatchPrefix(Table_Data[[#This Row],[D ID]],Table_Mappings[Data ID],0,"",TRUE,";
")</f>
        <v/>
      </c>
    </row>
    <row r="225" spans="1:14" ht="25" x14ac:dyDescent="0.25">
      <c r="A225" s="20" t="s">
        <v>1038</v>
      </c>
      <c r="B225" s="11" t="s">
        <v>643</v>
      </c>
      <c r="C225" s="6" t="s">
        <v>1029</v>
      </c>
      <c r="D225" s="6" t="s">
        <v>940</v>
      </c>
      <c r="E225" s="6" t="s">
        <v>955</v>
      </c>
      <c r="F225" s="6" t="s">
        <v>1039</v>
      </c>
      <c r="G225" s="15" t="str" cm="1">
        <f t="array" ref="G225">MultiMatchPrefix(Table_Data[[#This Row],[D ID]],Table_Mappings[Data ID],0,"",TRUE,";
")</f>
        <v/>
      </c>
    </row>
    <row r="226" spans="1:14" ht="50" x14ac:dyDescent="0.25">
      <c r="A226" s="20" t="s">
        <v>402</v>
      </c>
      <c r="B226" s="11" t="s">
        <v>79</v>
      </c>
      <c r="C226" s="6" t="s">
        <v>1040</v>
      </c>
      <c r="D226" s="17"/>
      <c r="E226" s="17"/>
      <c r="F226" s="6" t="s">
        <v>1041</v>
      </c>
      <c r="G226" s="15" t="str" cm="1">
        <f t="array" ref="G226">MultiMatchPrefix(Table_Data[[#This Row],[D ID]],Table_Mappings[Data ID],0,"",TRUE,";
")</f>
        <v>02.06 Invoice matching and payment;
02.14 Invoice matching and payment</v>
      </c>
      <c r="I226" s="19" t="s">
        <v>2733</v>
      </c>
      <c r="J226" s="19" t="s">
        <v>2734</v>
      </c>
    </row>
    <row r="227" spans="1:14" x14ac:dyDescent="0.25">
      <c r="A227" s="20" t="s">
        <v>1042</v>
      </c>
      <c r="B227" s="11" t="s">
        <v>640</v>
      </c>
      <c r="C227" s="6" t="s">
        <v>1040</v>
      </c>
      <c r="D227" s="6" t="s">
        <v>1043</v>
      </c>
      <c r="E227" s="17"/>
      <c r="F227" s="6" t="s">
        <v>81</v>
      </c>
      <c r="G227" s="15" t="str" cm="1">
        <f t="array" ref="G227">MultiMatchPrefix(Table_Data[[#This Row],[D ID]],Table_Mappings[Data ID],0,"",TRUE,";
")</f>
        <v/>
      </c>
    </row>
    <row r="228" spans="1:14" ht="25" x14ac:dyDescent="0.25">
      <c r="A228" s="20" t="s">
        <v>1044</v>
      </c>
      <c r="B228" s="11" t="s">
        <v>643</v>
      </c>
      <c r="C228" s="6" t="s">
        <v>1040</v>
      </c>
      <c r="D228" s="6" t="s">
        <v>1043</v>
      </c>
      <c r="E228" s="6" t="s">
        <v>1045</v>
      </c>
      <c r="F228" s="6" t="s">
        <v>1046</v>
      </c>
      <c r="G228" s="15" t="str" cm="1">
        <f t="array" ref="G228">MultiMatchPrefix(Table_Data[[#This Row],[D ID]],Table_Mappings[Data ID],0,"",TRUE,";
")</f>
        <v/>
      </c>
    </row>
    <row r="229" spans="1:14" x14ac:dyDescent="0.25">
      <c r="A229" s="20" t="s">
        <v>1047</v>
      </c>
      <c r="B229" s="11" t="s">
        <v>643</v>
      </c>
      <c r="C229" s="6" t="s">
        <v>1040</v>
      </c>
      <c r="D229" s="6" t="s">
        <v>1043</v>
      </c>
      <c r="E229" s="6" t="s">
        <v>721</v>
      </c>
      <c r="F229" s="6" t="s">
        <v>81</v>
      </c>
      <c r="G229" s="15" t="str" cm="1">
        <f t="array" ref="G229">MultiMatchPrefix(Table_Data[[#This Row],[D ID]],Table_Mappings[Data ID],0,"",TRUE,";
")</f>
        <v/>
      </c>
    </row>
    <row r="230" spans="1:14" x14ac:dyDescent="0.25">
      <c r="A230" s="20" t="s">
        <v>1048</v>
      </c>
      <c r="B230" s="11" t="s">
        <v>643</v>
      </c>
      <c r="C230" s="6" t="s">
        <v>1040</v>
      </c>
      <c r="D230" s="6" t="s">
        <v>1043</v>
      </c>
      <c r="E230" s="6" t="s">
        <v>1049</v>
      </c>
      <c r="F230" s="6" t="s">
        <v>81</v>
      </c>
      <c r="G230" s="15" t="str" cm="1">
        <f t="array" ref="G230">MultiMatchPrefix(Table_Data[[#This Row],[D ID]],Table_Mappings[Data ID],0,"",TRUE,";
")</f>
        <v/>
      </c>
    </row>
    <row r="231" spans="1:14" x14ac:dyDescent="0.25">
      <c r="A231" s="20" t="s">
        <v>1050</v>
      </c>
      <c r="B231" s="11" t="s">
        <v>640</v>
      </c>
      <c r="C231" s="6" t="s">
        <v>1040</v>
      </c>
      <c r="D231" s="6" t="s">
        <v>980</v>
      </c>
      <c r="E231" s="17"/>
      <c r="F231" s="6" t="s">
        <v>81</v>
      </c>
      <c r="G231" s="15" t="str" cm="1">
        <f t="array" ref="G231">MultiMatchPrefix(Table_Data[[#This Row],[D ID]],Table_Mappings[Data ID],0,"",TRUE,";
")</f>
        <v/>
      </c>
      <c r="I231" s="19" t="s">
        <v>2632</v>
      </c>
      <c r="J231" s="19" t="s">
        <v>715</v>
      </c>
      <c r="K231" s="19" t="s">
        <v>715</v>
      </c>
      <c r="L231" s="19" t="s">
        <v>2612</v>
      </c>
      <c r="N231" s="181">
        <v>100</v>
      </c>
    </row>
    <row r="232" spans="1:14" ht="13" x14ac:dyDescent="0.25">
      <c r="A232" s="20" t="s">
        <v>1051</v>
      </c>
      <c r="B232" s="11" t="s">
        <v>643</v>
      </c>
      <c r="C232" s="153" t="s">
        <v>1040</v>
      </c>
      <c r="D232" s="153" t="s">
        <v>980</v>
      </c>
      <c r="E232" s="153" t="s">
        <v>694</v>
      </c>
      <c r="F232" s="6" t="s">
        <v>692</v>
      </c>
      <c r="G232" s="15" t="str" cm="1">
        <f t="array" ref="G232">MultiMatchPrefix(Table_Data[[#This Row],[D ID]],Table_Mappings[Data ID],0,"",TRUE,";
")</f>
        <v/>
      </c>
      <c r="I232" s="19" t="s">
        <v>2632</v>
      </c>
      <c r="J232" s="19" t="s">
        <v>715</v>
      </c>
      <c r="M232" s="19" t="s">
        <v>2673</v>
      </c>
      <c r="N232" s="181">
        <v>100</v>
      </c>
    </row>
    <row r="233" spans="1:14" x14ac:dyDescent="0.25">
      <c r="A233" s="20" t="s">
        <v>1052</v>
      </c>
      <c r="B233" s="11" t="s">
        <v>640</v>
      </c>
      <c r="C233" s="6" t="s">
        <v>1040</v>
      </c>
      <c r="D233" s="6" t="s">
        <v>989</v>
      </c>
      <c r="E233" s="17"/>
      <c r="F233" s="6" t="s">
        <v>81</v>
      </c>
      <c r="G233" s="15" t="str" cm="1">
        <f t="array" ref="G233">MultiMatchPrefix(Table_Data[[#This Row],[D ID]],Table_Mappings[Data ID],0,"",TRUE,";
")</f>
        <v/>
      </c>
    </row>
    <row r="234" spans="1:14" x14ac:dyDescent="0.25">
      <c r="A234" s="20" t="s">
        <v>1053</v>
      </c>
      <c r="B234" s="11" t="s">
        <v>643</v>
      </c>
      <c r="C234" s="6" t="s">
        <v>1040</v>
      </c>
      <c r="D234" s="6" t="s">
        <v>989</v>
      </c>
      <c r="E234" s="6" t="s">
        <v>783</v>
      </c>
      <c r="F234" s="6" t="s">
        <v>81</v>
      </c>
      <c r="G234" s="15" t="str" cm="1">
        <f t="array" ref="G234">MultiMatchPrefix(Table_Data[[#This Row],[D ID]],Table_Mappings[Data ID],0,"",TRUE,";
")</f>
        <v/>
      </c>
    </row>
    <row r="235" spans="1:14" x14ac:dyDescent="0.25">
      <c r="A235" s="20" t="s">
        <v>1054</v>
      </c>
      <c r="B235" s="11" t="s">
        <v>643</v>
      </c>
      <c r="C235" s="6" t="s">
        <v>1040</v>
      </c>
      <c r="D235" s="6" t="s">
        <v>989</v>
      </c>
      <c r="E235" s="6" t="s">
        <v>1055</v>
      </c>
      <c r="F235" s="6" t="s">
        <v>81</v>
      </c>
      <c r="G235" s="15" t="str" cm="1">
        <f t="array" ref="G235">MultiMatchPrefix(Table_Data[[#This Row],[D ID]],Table_Mappings[Data ID],0,"",TRUE,";
")</f>
        <v/>
      </c>
    </row>
    <row r="236" spans="1:14" ht="25" x14ac:dyDescent="0.25">
      <c r="A236" s="20" t="s">
        <v>1056</v>
      </c>
      <c r="B236" s="11" t="s">
        <v>643</v>
      </c>
      <c r="C236" s="6" t="s">
        <v>1040</v>
      </c>
      <c r="D236" s="6" t="s">
        <v>989</v>
      </c>
      <c r="E236" s="6" t="s">
        <v>925</v>
      </c>
      <c r="F236" s="6" t="s">
        <v>1057</v>
      </c>
      <c r="G236" s="15" t="str" cm="1">
        <f t="array" ref="G236">MultiMatchPrefix(Table_Data[[#This Row],[D ID]],Table_Mappings[Data ID],0,"",TRUE,";
")</f>
        <v/>
      </c>
    </row>
    <row r="237" spans="1:14" x14ac:dyDescent="0.25">
      <c r="A237" s="20" t="s">
        <v>1058</v>
      </c>
      <c r="B237" s="11" t="s">
        <v>640</v>
      </c>
      <c r="C237" s="6" t="s">
        <v>1040</v>
      </c>
      <c r="D237" s="6" t="s">
        <v>1059</v>
      </c>
      <c r="E237" s="17"/>
      <c r="F237" s="6" t="s">
        <v>81</v>
      </c>
      <c r="G237" s="15" t="str" cm="1">
        <f t="array" ref="G237">MultiMatchPrefix(Table_Data[[#This Row],[D ID]],Table_Mappings[Data ID],0,"",TRUE,";
")</f>
        <v/>
      </c>
    </row>
    <row r="238" spans="1:14" x14ac:dyDescent="0.25">
      <c r="A238" s="20" t="s">
        <v>1060</v>
      </c>
      <c r="B238" s="11" t="s">
        <v>643</v>
      </c>
      <c r="C238" s="6" t="s">
        <v>1040</v>
      </c>
      <c r="D238" s="6" t="s">
        <v>1059</v>
      </c>
      <c r="E238" s="6" t="s">
        <v>1061</v>
      </c>
      <c r="F238" s="6" t="s">
        <v>81</v>
      </c>
      <c r="G238" s="15" t="str" cm="1">
        <f t="array" ref="G238">MultiMatchPrefix(Table_Data[[#This Row],[D ID]],Table_Mappings[Data ID],0,"",TRUE,";
")</f>
        <v/>
      </c>
    </row>
    <row r="239" spans="1:14" x14ac:dyDescent="0.25">
      <c r="A239" s="20" t="s">
        <v>1062</v>
      </c>
      <c r="B239" s="11" t="s">
        <v>643</v>
      </c>
      <c r="C239" s="6" t="s">
        <v>1040</v>
      </c>
      <c r="D239" s="6" t="s">
        <v>1059</v>
      </c>
      <c r="E239" s="6" t="s">
        <v>650</v>
      </c>
      <c r="F239" s="6" t="s">
        <v>81</v>
      </c>
      <c r="G239" s="15" t="str" cm="1">
        <f t="array" ref="G239">MultiMatchPrefix(Table_Data[[#This Row],[D ID]],Table_Mappings[Data ID],0,"",TRUE,";
")</f>
        <v/>
      </c>
    </row>
    <row r="240" spans="1:14" x14ac:dyDescent="0.25">
      <c r="A240" s="20" t="s">
        <v>1063</v>
      </c>
      <c r="B240" s="11" t="s">
        <v>643</v>
      </c>
      <c r="C240" s="6" t="s">
        <v>1040</v>
      </c>
      <c r="D240" s="6" t="s">
        <v>1059</v>
      </c>
      <c r="E240" s="6" t="s">
        <v>880</v>
      </c>
      <c r="F240" s="6" t="s">
        <v>81</v>
      </c>
      <c r="G240" s="15" t="str" cm="1">
        <f t="array" ref="G240">MultiMatchPrefix(Table_Data[[#This Row],[D ID]],Table_Mappings[Data ID],0,"",TRUE,";
")</f>
        <v/>
      </c>
    </row>
    <row r="241" spans="1:7" x14ac:dyDescent="0.25">
      <c r="A241" s="20" t="s">
        <v>1064</v>
      </c>
      <c r="B241" s="11" t="s">
        <v>643</v>
      </c>
      <c r="C241" s="6" t="s">
        <v>1040</v>
      </c>
      <c r="D241" s="6" t="s">
        <v>1059</v>
      </c>
      <c r="E241" s="6" t="s">
        <v>882</v>
      </c>
      <c r="F241" s="6" t="s">
        <v>81</v>
      </c>
      <c r="G241" s="15" t="str" cm="1">
        <f t="array" ref="G241">MultiMatchPrefix(Table_Data[[#This Row],[D ID]],Table_Mappings[Data ID],0,"",TRUE,";
")</f>
        <v/>
      </c>
    </row>
    <row r="242" spans="1:7" ht="25" x14ac:dyDescent="0.25">
      <c r="A242" s="20" t="s">
        <v>407</v>
      </c>
      <c r="B242" s="11" t="s">
        <v>79</v>
      </c>
      <c r="C242" s="6" t="s">
        <v>1065</v>
      </c>
      <c r="D242" s="17"/>
      <c r="E242" s="17"/>
      <c r="F242" s="6" t="s">
        <v>1066</v>
      </c>
      <c r="G242" s="15" t="str" cm="1">
        <f t="array" ref="G242">MultiMatchPrefix(Table_Data[[#This Row],[D ID]],Table_Mappings[Data ID],0,"",TRUE,";
")</f>
        <v>02.06 Invoice matching and payment;
02.14 Invoice matching and payment</v>
      </c>
    </row>
    <row r="243" spans="1:7" x14ac:dyDescent="0.25">
      <c r="A243" s="20" t="s">
        <v>1067</v>
      </c>
      <c r="B243" s="11" t="s">
        <v>640</v>
      </c>
      <c r="C243" s="6" t="s">
        <v>1065</v>
      </c>
      <c r="D243" s="6" t="s">
        <v>1068</v>
      </c>
      <c r="E243" s="17"/>
      <c r="F243" s="6" t="s">
        <v>81</v>
      </c>
      <c r="G243" s="15" t="str" cm="1">
        <f t="array" ref="G243">MultiMatchPrefix(Table_Data[[#This Row],[D ID]],Table_Mappings[Data ID],0,"",TRUE,";
")</f>
        <v/>
      </c>
    </row>
    <row r="244" spans="1:7" ht="25" x14ac:dyDescent="0.25">
      <c r="A244" s="20" t="s">
        <v>1069</v>
      </c>
      <c r="B244" s="11" t="s">
        <v>643</v>
      </c>
      <c r="C244" s="6" t="s">
        <v>1065</v>
      </c>
      <c r="D244" s="6" t="s">
        <v>1068</v>
      </c>
      <c r="E244" s="6" t="s">
        <v>1070</v>
      </c>
      <c r="F244" s="6" t="s">
        <v>1046</v>
      </c>
      <c r="G244" s="15" t="str" cm="1">
        <f t="array" ref="G244">MultiMatchPrefix(Table_Data[[#This Row],[D ID]],Table_Mappings[Data ID],0,"",TRUE,";
")</f>
        <v/>
      </c>
    </row>
    <row r="245" spans="1:7" x14ac:dyDescent="0.25">
      <c r="A245" s="20" t="s">
        <v>1071</v>
      </c>
      <c r="B245" s="11" t="s">
        <v>643</v>
      </c>
      <c r="C245" s="6" t="s">
        <v>1065</v>
      </c>
      <c r="D245" s="6" t="s">
        <v>1068</v>
      </c>
      <c r="E245" s="6" t="s">
        <v>721</v>
      </c>
      <c r="F245" s="6" t="s">
        <v>81</v>
      </c>
      <c r="G245" s="15" t="str" cm="1">
        <f t="array" ref="G245">MultiMatchPrefix(Table_Data[[#This Row],[D ID]],Table_Mappings[Data ID],0,"",TRUE,";
")</f>
        <v/>
      </c>
    </row>
    <row r="246" spans="1:7" x14ac:dyDescent="0.25">
      <c r="A246" s="20" t="s">
        <v>1072</v>
      </c>
      <c r="B246" s="11" t="s">
        <v>643</v>
      </c>
      <c r="C246" s="6" t="s">
        <v>1065</v>
      </c>
      <c r="D246" s="6" t="s">
        <v>1068</v>
      </c>
      <c r="E246" s="6" t="s">
        <v>723</v>
      </c>
      <c r="F246" s="6" t="s">
        <v>81</v>
      </c>
      <c r="G246" s="15" t="str" cm="1">
        <f t="array" ref="G246">MultiMatchPrefix(Table_Data[[#This Row],[D ID]],Table_Mappings[Data ID],0,"",TRUE,";
")</f>
        <v/>
      </c>
    </row>
    <row r="247" spans="1:7" x14ac:dyDescent="0.25">
      <c r="A247" s="20" t="s">
        <v>1073</v>
      </c>
      <c r="B247" s="11" t="s">
        <v>643</v>
      </c>
      <c r="C247" s="6" t="s">
        <v>1065</v>
      </c>
      <c r="D247" s="6" t="s">
        <v>1068</v>
      </c>
      <c r="E247" s="6" t="s">
        <v>1074</v>
      </c>
      <c r="F247" s="6" t="s">
        <v>81</v>
      </c>
      <c r="G247" s="15" t="str" cm="1">
        <f t="array" ref="G247">MultiMatchPrefix(Table_Data[[#This Row],[D ID]],Table_Mappings[Data ID],0,"",TRUE,";
")</f>
        <v/>
      </c>
    </row>
    <row r="248" spans="1:7" x14ac:dyDescent="0.25">
      <c r="A248" s="20" t="s">
        <v>1075</v>
      </c>
      <c r="B248" s="11" t="s">
        <v>643</v>
      </c>
      <c r="C248" s="6" t="s">
        <v>1065</v>
      </c>
      <c r="D248" s="6" t="s">
        <v>1068</v>
      </c>
      <c r="E248" s="6" t="s">
        <v>1076</v>
      </c>
      <c r="F248" s="6" t="s">
        <v>81</v>
      </c>
      <c r="G248" s="15" t="str" cm="1">
        <f t="array" ref="G248">MultiMatchPrefix(Table_Data[[#This Row],[D ID]],Table_Mappings[Data ID],0,"",TRUE,";
")</f>
        <v/>
      </c>
    </row>
    <row r="249" spans="1:7" x14ac:dyDescent="0.25">
      <c r="A249" s="20" t="s">
        <v>1077</v>
      </c>
      <c r="B249" s="11" t="s">
        <v>643</v>
      </c>
      <c r="C249" s="6" t="s">
        <v>1065</v>
      </c>
      <c r="D249" s="6" t="s">
        <v>1068</v>
      </c>
      <c r="E249" s="6" t="s">
        <v>930</v>
      </c>
      <c r="F249" s="6" t="s">
        <v>81</v>
      </c>
      <c r="G249" s="15" t="str" cm="1">
        <f t="array" ref="G249">MultiMatchPrefix(Table_Data[[#This Row],[D ID]],Table_Mappings[Data ID],0,"",TRUE,";
")</f>
        <v/>
      </c>
    </row>
    <row r="250" spans="1:7" x14ac:dyDescent="0.25">
      <c r="A250" s="20" t="s">
        <v>1078</v>
      </c>
      <c r="B250" s="11" t="s">
        <v>640</v>
      </c>
      <c r="C250" s="6" t="s">
        <v>1065</v>
      </c>
      <c r="D250" s="6" t="s">
        <v>1079</v>
      </c>
      <c r="E250" s="17"/>
      <c r="F250" s="6" t="s">
        <v>81</v>
      </c>
      <c r="G250" s="15" t="str" cm="1">
        <f t="array" ref="G250">MultiMatchPrefix(Table_Data[[#This Row],[D ID]],Table_Mappings[Data ID],0,"",TRUE,";
")</f>
        <v/>
      </c>
    </row>
    <row r="251" spans="1:7" x14ac:dyDescent="0.25">
      <c r="A251" s="20" t="s">
        <v>1080</v>
      </c>
      <c r="B251" s="11" t="s">
        <v>643</v>
      </c>
      <c r="C251" s="6" t="s">
        <v>1065</v>
      </c>
      <c r="D251" s="6" t="s">
        <v>1079</v>
      </c>
      <c r="E251" s="6" t="s">
        <v>1081</v>
      </c>
      <c r="F251" s="6" t="s">
        <v>81</v>
      </c>
      <c r="G251" s="15" t="str" cm="1">
        <f t="array" ref="G251">MultiMatchPrefix(Table_Data[[#This Row],[D ID]],Table_Mappings[Data ID],0,"",TRUE,";
")</f>
        <v/>
      </c>
    </row>
    <row r="252" spans="1:7" x14ac:dyDescent="0.25">
      <c r="A252" s="20" t="s">
        <v>1082</v>
      </c>
      <c r="B252" s="11" t="s">
        <v>643</v>
      </c>
      <c r="C252" s="6" t="s">
        <v>1065</v>
      </c>
      <c r="D252" s="6" t="s">
        <v>1079</v>
      </c>
      <c r="E252" s="6" t="s">
        <v>1083</v>
      </c>
      <c r="F252" s="6" t="s">
        <v>81</v>
      </c>
      <c r="G252" s="15" t="str" cm="1">
        <f t="array" ref="G252">MultiMatchPrefix(Table_Data[[#This Row],[D ID]],Table_Mappings[Data ID],0,"",TRUE,";
")</f>
        <v/>
      </c>
    </row>
    <row r="253" spans="1:7" x14ac:dyDescent="0.25">
      <c r="A253" s="20" t="s">
        <v>1084</v>
      </c>
      <c r="B253" s="11" t="s">
        <v>643</v>
      </c>
      <c r="C253" s="6" t="s">
        <v>1065</v>
      </c>
      <c r="D253" s="6" t="s">
        <v>1079</v>
      </c>
      <c r="E253" s="6" t="s">
        <v>1085</v>
      </c>
      <c r="F253" s="6" t="s">
        <v>1086</v>
      </c>
      <c r="G253" s="15" t="str" cm="1">
        <f t="array" ref="G253">MultiMatchPrefix(Table_Data[[#This Row],[D ID]],Table_Mappings[Data ID],0,"",TRUE,";
")</f>
        <v/>
      </c>
    </row>
    <row r="254" spans="1:7" x14ac:dyDescent="0.25">
      <c r="A254" s="20" t="s">
        <v>1087</v>
      </c>
      <c r="B254" s="11" t="s">
        <v>643</v>
      </c>
      <c r="C254" s="6" t="s">
        <v>1065</v>
      </c>
      <c r="D254" s="6" t="s">
        <v>1079</v>
      </c>
      <c r="E254" s="6" t="s">
        <v>1088</v>
      </c>
      <c r="F254" s="6" t="s">
        <v>81</v>
      </c>
      <c r="G254" s="15" t="str" cm="1">
        <f t="array" ref="G254">MultiMatchPrefix(Table_Data[[#This Row],[D ID]],Table_Mappings[Data ID],0,"",TRUE,";
")</f>
        <v/>
      </c>
    </row>
    <row r="255" spans="1:7" x14ac:dyDescent="0.25">
      <c r="A255" s="20" t="s">
        <v>1089</v>
      </c>
      <c r="B255" s="11" t="s">
        <v>640</v>
      </c>
      <c r="C255" s="6" t="s">
        <v>1065</v>
      </c>
      <c r="D255" s="6" t="s">
        <v>1090</v>
      </c>
      <c r="E255" s="17"/>
      <c r="F255" s="6" t="s">
        <v>81</v>
      </c>
      <c r="G255" s="15" t="str" cm="1">
        <f t="array" ref="G255">MultiMatchPrefix(Table_Data[[#This Row],[D ID]],Table_Mappings[Data ID],0,"",TRUE,";
")</f>
        <v/>
      </c>
    </row>
    <row r="256" spans="1:7" x14ac:dyDescent="0.25">
      <c r="A256" s="20" t="s">
        <v>1091</v>
      </c>
      <c r="B256" s="11" t="s">
        <v>643</v>
      </c>
      <c r="C256" s="6" t="s">
        <v>1065</v>
      </c>
      <c r="D256" s="6" t="s">
        <v>1090</v>
      </c>
      <c r="E256" s="6" t="s">
        <v>1092</v>
      </c>
      <c r="F256" s="6" t="s">
        <v>81</v>
      </c>
      <c r="G256" s="15" t="str" cm="1">
        <f t="array" ref="G256">MultiMatchPrefix(Table_Data[[#This Row],[D ID]],Table_Mappings[Data ID],0,"",TRUE,";
")</f>
        <v/>
      </c>
    </row>
    <row r="257" spans="1:14" ht="50" x14ac:dyDescent="0.25">
      <c r="A257" s="20" t="s">
        <v>379</v>
      </c>
      <c r="B257" s="11" t="s">
        <v>79</v>
      </c>
      <c r="C257" s="6" t="s">
        <v>1093</v>
      </c>
      <c r="D257" s="17"/>
      <c r="E257" s="17"/>
      <c r="F257" s="6" t="s">
        <v>1094</v>
      </c>
      <c r="G257" s="15" t="str" cm="1">
        <f t="array" ref="G257">MultiMatchPrefix(Table_Data[[#This Row],[D ID]],Table_Mappings[Data ID],0,"",TRUE,";
")</f>
        <v xml:space="preserve">02.03 Procurement method selection;
02.04 Procurement derogation validation ;
02.10 Procurement method selection;
02.11 Procurement derogation validation </v>
      </c>
      <c r="I257" s="19" t="s">
        <v>2733</v>
      </c>
      <c r="J257" s="19" t="s">
        <v>2736</v>
      </c>
    </row>
    <row r="258" spans="1:14" x14ac:dyDescent="0.25">
      <c r="A258" s="20" t="s">
        <v>1095</v>
      </c>
      <c r="B258" s="11" t="s">
        <v>640</v>
      </c>
      <c r="C258" s="6" t="s">
        <v>1093</v>
      </c>
      <c r="D258" s="6" t="s">
        <v>1096</v>
      </c>
      <c r="E258" s="17"/>
      <c r="F258" s="6" t="s">
        <v>81</v>
      </c>
      <c r="G258" s="15" t="str" cm="1">
        <f t="array" ref="G258">MultiMatchPrefix(Table_Data[[#This Row],[D ID]],Table_Mappings[Data ID],0,"",TRUE,";
")</f>
        <v/>
      </c>
    </row>
    <row r="259" spans="1:14" x14ac:dyDescent="0.25">
      <c r="A259" s="20" t="s">
        <v>1097</v>
      </c>
      <c r="B259" s="11" t="s">
        <v>643</v>
      </c>
      <c r="C259" s="6" t="s">
        <v>1093</v>
      </c>
      <c r="D259" s="6" t="s">
        <v>1096</v>
      </c>
      <c r="E259" s="6" t="s">
        <v>1098</v>
      </c>
      <c r="F259" s="6" t="s">
        <v>81</v>
      </c>
      <c r="G259" s="15" t="str" cm="1">
        <f t="array" ref="G259">MultiMatchPrefix(Table_Data[[#This Row],[D ID]],Table_Mappings[Data ID],0,"",TRUE,";
")</f>
        <v/>
      </c>
    </row>
    <row r="260" spans="1:14" x14ac:dyDescent="0.25">
      <c r="A260" s="20" t="s">
        <v>1099</v>
      </c>
      <c r="B260" s="11" t="s">
        <v>643</v>
      </c>
      <c r="C260" s="6" t="s">
        <v>1093</v>
      </c>
      <c r="D260" s="6" t="s">
        <v>1096</v>
      </c>
      <c r="E260" s="6" t="s">
        <v>902</v>
      </c>
      <c r="F260" s="6" t="s">
        <v>81</v>
      </c>
      <c r="G260" s="15" t="str" cm="1">
        <f t="array" ref="G260">MultiMatchPrefix(Table_Data[[#This Row],[D ID]],Table_Mappings[Data ID],0,"",TRUE,";
")</f>
        <v/>
      </c>
    </row>
    <row r="261" spans="1:14" x14ac:dyDescent="0.25">
      <c r="A261" s="20" t="s">
        <v>1100</v>
      </c>
      <c r="B261" s="11" t="s">
        <v>643</v>
      </c>
      <c r="C261" s="6" t="s">
        <v>1093</v>
      </c>
      <c r="D261" s="6" t="s">
        <v>1096</v>
      </c>
      <c r="E261" s="6" t="s">
        <v>936</v>
      </c>
      <c r="F261" s="6" t="s">
        <v>81</v>
      </c>
      <c r="G261" s="15" t="str" cm="1">
        <f t="array" ref="G261">MultiMatchPrefix(Table_Data[[#This Row],[D ID]],Table_Mappings[Data ID],0,"",TRUE,";
")</f>
        <v/>
      </c>
    </row>
    <row r="262" spans="1:14" x14ac:dyDescent="0.25">
      <c r="A262" s="20" t="s">
        <v>1101</v>
      </c>
      <c r="B262" s="11" t="s">
        <v>643</v>
      </c>
      <c r="C262" s="6" t="s">
        <v>1093</v>
      </c>
      <c r="D262" s="6" t="s">
        <v>1096</v>
      </c>
      <c r="E262" s="6" t="s">
        <v>1102</v>
      </c>
      <c r="F262" s="6" t="s">
        <v>1103</v>
      </c>
      <c r="G262" s="15" t="str" cm="1">
        <f t="array" ref="G262">MultiMatchPrefix(Table_Data[[#This Row],[D ID]],Table_Mappings[Data ID],0,"",TRUE,";
")</f>
        <v/>
      </c>
    </row>
    <row r="263" spans="1:14" x14ac:dyDescent="0.25">
      <c r="A263" s="20" t="s">
        <v>1104</v>
      </c>
      <c r="B263" s="11" t="s">
        <v>643</v>
      </c>
      <c r="C263" s="6" t="s">
        <v>1093</v>
      </c>
      <c r="D263" s="6" t="s">
        <v>1096</v>
      </c>
      <c r="E263" s="6" t="s">
        <v>1105</v>
      </c>
      <c r="F263" s="6" t="s">
        <v>1106</v>
      </c>
      <c r="G263" s="15" t="str" cm="1">
        <f t="array" ref="G263">MultiMatchPrefix(Table_Data[[#This Row],[D ID]],Table_Mappings[Data ID],0,"",TRUE,";
")</f>
        <v/>
      </c>
    </row>
    <row r="264" spans="1:14" x14ac:dyDescent="0.25">
      <c r="A264" s="20" t="s">
        <v>1107</v>
      </c>
      <c r="B264" s="11" t="s">
        <v>643</v>
      </c>
      <c r="C264" s="6" t="s">
        <v>1093</v>
      </c>
      <c r="D264" s="6" t="s">
        <v>1096</v>
      </c>
      <c r="E264" s="6" t="s">
        <v>868</v>
      </c>
      <c r="F264" s="6" t="s">
        <v>81</v>
      </c>
      <c r="G264" s="15" t="str" cm="1">
        <f t="array" ref="G264">MultiMatchPrefix(Table_Data[[#This Row],[D ID]],Table_Mappings[Data ID],0,"",TRUE,";
")</f>
        <v/>
      </c>
    </row>
    <row r="265" spans="1:14" x14ac:dyDescent="0.25">
      <c r="A265" s="20" t="s">
        <v>1108</v>
      </c>
      <c r="B265" s="11" t="s">
        <v>640</v>
      </c>
      <c r="C265" s="6" t="s">
        <v>1093</v>
      </c>
      <c r="D265" s="6" t="s">
        <v>1109</v>
      </c>
      <c r="E265" s="17"/>
      <c r="F265" s="6" t="s">
        <v>81</v>
      </c>
      <c r="G265" s="15" t="str" cm="1">
        <f t="array" ref="G265">MultiMatchPrefix(Table_Data[[#This Row],[D ID]],Table_Mappings[Data ID],0,"",TRUE,";
")</f>
        <v/>
      </c>
    </row>
    <row r="266" spans="1:14" x14ac:dyDescent="0.25">
      <c r="A266" s="20" t="s">
        <v>1110</v>
      </c>
      <c r="B266" s="11" t="s">
        <v>643</v>
      </c>
      <c r="C266" s="6" t="s">
        <v>1093</v>
      </c>
      <c r="D266" s="6" t="s">
        <v>1109</v>
      </c>
      <c r="E266" s="6" t="s">
        <v>1111</v>
      </c>
      <c r="F266" s="6" t="s">
        <v>81</v>
      </c>
      <c r="G266" s="15" t="str" cm="1">
        <f t="array" ref="G266">MultiMatchPrefix(Table_Data[[#This Row],[D ID]],Table_Mappings[Data ID],0,"",TRUE,";
")</f>
        <v/>
      </c>
    </row>
    <row r="267" spans="1:14" x14ac:dyDescent="0.25">
      <c r="A267" s="20" t="s">
        <v>1112</v>
      </c>
      <c r="B267" s="11" t="s">
        <v>640</v>
      </c>
      <c r="C267" s="6" t="s">
        <v>1093</v>
      </c>
      <c r="D267" s="6" t="s">
        <v>55</v>
      </c>
      <c r="E267" s="17"/>
      <c r="F267" s="6" t="s">
        <v>1113</v>
      </c>
      <c r="G267" s="15" t="str" cm="1">
        <f t="array" ref="G267">MultiMatchPrefix(Table_Data[[#This Row],[D ID]],Table_Mappings[Data ID],0,"",TRUE,";
")</f>
        <v/>
      </c>
    </row>
    <row r="268" spans="1:14" x14ac:dyDescent="0.25">
      <c r="A268" s="20" t="s">
        <v>1114</v>
      </c>
      <c r="B268" s="11" t="s">
        <v>643</v>
      </c>
      <c r="C268" s="6" t="s">
        <v>1093</v>
      </c>
      <c r="D268" s="6" t="s">
        <v>55</v>
      </c>
      <c r="E268" s="6" t="s">
        <v>721</v>
      </c>
      <c r="F268" s="6" t="s">
        <v>81</v>
      </c>
      <c r="G268" s="15" t="str" cm="1">
        <f t="array" ref="G268">MultiMatchPrefix(Table_Data[[#This Row],[D ID]],Table_Mappings[Data ID],0,"",TRUE,";
")</f>
        <v/>
      </c>
    </row>
    <row r="269" spans="1:14" x14ac:dyDescent="0.25">
      <c r="A269" s="20" t="s">
        <v>1115</v>
      </c>
      <c r="B269" s="11" t="s">
        <v>643</v>
      </c>
      <c r="C269" s="6" t="s">
        <v>1093</v>
      </c>
      <c r="D269" s="6" t="s">
        <v>55</v>
      </c>
      <c r="E269" s="6" t="s">
        <v>723</v>
      </c>
      <c r="F269" s="6" t="s">
        <v>81</v>
      </c>
      <c r="G269" s="15" t="str" cm="1">
        <f t="array" ref="G269">MultiMatchPrefix(Table_Data[[#This Row],[D ID]],Table_Mappings[Data ID],0,"",TRUE,";
")</f>
        <v/>
      </c>
    </row>
    <row r="270" spans="1:14" x14ac:dyDescent="0.25">
      <c r="A270" s="20" t="s">
        <v>1116</v>
      </c>
      <c r="B270" s="11" t="s">
        <v>643</v>
      </c>
      <c r="C270" s="6" t="s">
        <v>1093</v>
      </c>
      <c r="D270" s="6" t="s">
        <v>55</v>
      </c>
      <c r="E270" s="6" t="s">
        <v>765</v>
      </c>
      <c r="F270" s="6" t="s">
        <v>81</v>
      </c>
      <c r="G270" s="15" t="str" cm="1">
        <f t="array" ref="G270">MultiMatchPrefix(Table_Data[[#This Row],[D ID]],Table_Mappings[Data ID],0,"",TRUE,";
")</f>
        <v/>
      </c>
      <c r="I270" s="182" t="s">
        <v>2632</v>
      </c>
      <c r="J270" s="19" t="s">
        <v>765</v>
      </c>
      <c r="N270" s="181">
        <v>100</v>
      </c>
    </row>
    <row r="271" spans="1:14" x14ac:dyDescent="0.25">
      <c r="A271" s="20" t="s">
        <v>1117</v>
      </c>
      <c r="B271" s="11" t="s">
        <v>643</v>
      </c>
      <c r="C271" s="6" t="s">
        <v>1093</v>
      </c>
      <c r="D271" s="6" t="s">
        <v>55</v>
      </c>
      <c r="E271" s="6" t="s">
        <v>897</v>
      </c>
      <c r="F271" s="6" t="s">
        <v>81</v>
      </c>
      <c r="G271" s="15" t="str" cm="1">
        <f t="array" ref="G271">MultiMatchPrefix(Table_Data[[#This Row],[D ID]],Table_Mappings[Data ID],0,"",TRUE,";
")</f>
        <v/>
      </c>
    </row>
    <row r="272" spans="1:14" x14ac:dyDescent="0.25">
      <c r="A272" s="20" t="s">
        <v>1118</v>
      </c>
      <c r="B272" s="11" t="s">
        <v>640</v>
      </c>
      <c r="C272" s="6" t="s">
        <v>1093</v>
      </c>
      <c r="D272" s="6" t="s">
        <v>1119</v>
      </c>
      <c r="E272" s="17"/>
      <c r="F272" s="6" t="s">
        <v>81</v>
      </c>
      <c r="G272" s="15" t="str" cm="1">
        <f t="array" ref="G272">MultiMatchPrefix(Table_Data[[#This Row],[D ID]],Table_Mappings[Data ID],0,"",TRUE,";
")</f>
        <v/>
      </c>
    </row>
    <row r="273" spans="1:14" x14ac:dyDescent="0.25">
      <c r="A273" s="20" t="s">
        <v>1120</v>
      </c>
      <c r="B273" s="11" t="s">
        <v>643</v>
      </c>
      <c r="C273" s="6" t="s">
        <v>1093</v>
      </c>
      <c r="D273" s="6" t="s">
        <v>1119</v>
      </c>
      <c r="E273" s="6" t="s">
        <v>1061</v>
      </c>
      <c r="F273" s="6" t="s">
        <v>81</v>
      </c>
      <c r="G273" s="15" t="str" cm="1">
        <f t="array" ref="G273">MultiMatchPrefix(Table_Data[[#This Row],[D ID]],Table_Mappings[Data ID],0,"",TRUE,";
")</f>
        <v/>
      </c>
    </row>
    <row r="274" spans="1:14" x14ac:dyDescent="0.25">
      <c r="A274" s="20" t="s">
        <v>1121</v>
      </c>
      <c r="B274" s="11" t="s">
        <v>643</v>
      </c>
      <c r="C274" s="6" t="s">
        <v>1093</v>
      </c>
      <c r="D274" s="6" t="s">
        <v>1119</v>
      </c>
      <c r="E274" s="6" t="s">
        <v>936</v>
      </c>
      <c r="F274" s="6" t="s">
        <v>81</v>
      </c>
      <c r="G274" s="15" t="str" cm="1">
        <f t="array" ref="G274">MultiMatchPrefix(Table_Data[[#This Row],[D ID]],Table_Mappings[Data ID],0,"",TRUE,";
")</f>
        <v/>
      </c>
    </row>
    <row r="275" spans="1:14" x14ac:dyDescent="0.25">
      <c r="A275" s="20" t="s">
        <v>1122</v>
      </c>
      <c r="B275" s="11" t="s">
        <v>643</v>
      </c>
      <c r="C275" s="6" t="s">
        <v>1093</v>
      </c>
      <c r="D275" s="6" t="s">
        <v>1119</v>
      </c>
      <c r="E275" s="6" t="s">
        <v>868</v>
      </c>
      <c r="F275" s="6" t="s">
        <v>81</v>
      </c>
      <c r="G275" s="15" t="str" cm="1">
        <f t="array" ref="G275">MultiMatchPrefix(Table_Data[[#This Row],[D ID]],Table_Mappings[Data ID],0,"",TRUE,";
")</f>
        <v/>
      </c>
    </row>
    <row r="276" spans="1:14" x14ac:dyDescent="0.25">
      <c r="A276" s="20" t="s">
        <v>1123</v>
      </c>
      <c r="B276" s="11" t="s">
        <v>643</v>
      </c>
      <c r="C276" s="6" t="s">
        <v>1093</v>
      </c>
      <c r="D276" s="6" t="s">
        <v>1119</v>
      </c>
      <c r="E276" s="6" t="s">
        <v>897</v>
      </c>
      <c r="F276" s="6" t="s">
        <v>81</v>
      </c>
      <c r="G276" s="15" t="str" cm="1">
        <f t="array" ref="G276">MultiMatchPrefix(Table_Data[[#This Row],[D ID]],Table_Mappings[Data ID],0,"",TRUE,";
")</f>
        <v/>
      </c>
    </row>
    <row r="277" spans="1:14" x14ac:dyDescent="0.25">
      <c r="A277" s="20" t="s">
        <v>1124</v>
      </c>
      <c r="B277" s="11" t="s">
        <v>643</v>
      </c>
      <c r="C277" s="6" t="s">
        <v>1093</v>
      </c>
      <c r="D277" s="6" t="s">
        <v>1119</v>
      </c>
      <c r="E277" s="6" t="s">
        <v>650</v>
      </c>
      <c r="F277" s="6" t="s">
        <v>81</v>
      </c>
      <c r="G277" s="15" t="str" cm="1">
        <f t="array" ref="G277">MultiMatchPrefix(Table_Data[[#This Row],[D ID]],Table_Mappings[Data ID],0,"",TRUE,";
")</f>
        <v/>
      </c>
    </row>
    <row r="278" spans="1:14" x14ac:dyDescent="0.25">
      <c r="A278" s="20" t="s">
        <v>1125</v>
      </c>
      <c r="B278" s="11" t="s">
        <v>643</v>
      </c>
      <c r="C278" s="6" t="s">
        <v>1093</v>
      </c>
      <c r="D278" s="6" t="s">
        <v>1119</v>
      </c>
      <c r="E278" s="6" t="s">
        <v>878</v>
      </c>
      <c r="F278" s="6" t="s">
        <v>81</v>
      </c>
      <c r="G278" s="15" t="str" cm="1">
        <f t="array" ref="G278">MultiMatchPrefix(Table_Data[[#This Row],[D ID]],Table_Mappings[Data ID],0,"",TRUE,";
")</f>
        <v/>
      </c>
    </row>
    <row r="279" spans="1:14" x14ac:dyDescent="0.25">
      <c r="A279" s="20" t="s">
        <v>1126</v>
      </c>
      <c r="B279" s="11" t="s">
        <v>643</v>
      </c>
      <c r="C279" s="6" t="s">
        <v>1093</v>
      </c>
      <c r="D279" s="6" t="s">
        <v>1119</v>
      </c>
      <c r="E279" s="6" t="s">
        <v>880</v>
      </c>
      <c r="F279" s="6" t="s">
        <v>81</v>
      </c>
      <c r="G279" s="15" t="str" cm="1">
        <f t="array" ref="G279">MultiMatchPrefix(Table_Data[[#This Row],[D ID]],Table_Mappings[Data ID],0,"",TRUE,";
")</f>
        <v/>
      </c>
    </row>
    <row r="280" spans="1:14" x14ac:dyDescent="0.25">
      <c r="A280" s="20" t="s">
        <v>1127</v>
      </c>
      <c r="B280" s="11" t="s">
        <v>643</v>
      </c>
      <c r="C280" s="6" t="s">
        <v>1093</v>
      </c>
      <c r="D280" s="6" t="s">
        <v>1119</v>
      </c>
      <c r="E280" s="6" t="s">
        <v>870</v>
      </c>
      <c r="F280" s="6" t="s">
        <v>81</v>
      </c>
      <c r="G280" s="15" t="str" cm="1">
        <f t="array" ref="G280">MultiMatchPrefix(Table_Data[[#This Row],[D ID]],Table_Mappings[Data ID],0,"",TRUE,";
")</f>
        <v/>
      </c>
    </row>
    <row r="281" spans="1:14" x14ac:dyDescent="0.25">
      <c r="A281" s="20" t="s">
        <v>1128</v>
      </c>
      <c r="B281" s="11" t="s">
        <v>640</v>
      </c>
      <c r="C281" s="6" t="s">
        <v>1093</v>
      </c>
      <c r="D281" s="6" t="s">
        <v>932</v>
      </c>
      <c r="E281" s="17"/>
      <c r="F281" s="6" t="s">
        <v>81</v>
      </c>
      <c r="G281" s="15" t="str" cm="1">
        <f t="array" ref="G281">MultiMatchPrefix(Table_Data[[#This Row],[D ID]],Table_Mappings[Data ID],0,"",TRUE,";
")</f>
        <v/>
      </c>
      <c r="I281" s="19" t="s">
        <v>2632</v>
      </c>
      <c r="J281" s="19" t="s">
        <v>715</v>
      </c>
      <c r="K281" s="19" t="s">
        <v>715</v>
      </c>
      <c r="L281" s="19" t="s">
        <v>2612</v>
      </c>
      <c r="N281" s="181">
        <v>100</v>
      </c>
    </row>
    <row r="282" spans="1:14" ht="13" x14ac:dyDescent="0.25">
      <c r="A282" s="20" t="s">
        <v>1129</v>
      </c>
      <c r="B282" s="11" t="s">
        <v>643</v>
      </c>
      <c r="C282" s="153" t="s">
        <v>1093</v>
      </c>
      <c r="D282" s="153" t="s">
        <v>932</v>
      </c>
      <c r="E282" s="153" t="s">
        <v>694</v>
      </c>
      <c r="F282" s="6" t="s">
        <v>692</v>
      </c>
      <c r="G282" s="15" t="str" cm="1">
        <f t="array" ref="G282">MultiMatchPrefix(Table_Data[[#This Row],[D ID]],Table_Mappings[Data ID],0,"",TRUE,";
")</f>
        <v/>
      </c>
      <c r="I282" s="19" t="s">
        <v>2632</v>
      </c>
      <c r="J282" s="19" t="s">
        <v>715</v>
      </c>
      <c r="M282" s="19" t="s">
        <v>2673</v>
      </c>
      <c r="N282" s="181">
        <v>100</v>
      </c>
    </row>
    <row r="283" spans="1:14" ht="50" x14ac:dyDescent="0.25">
      <c r="A283" s="20" t="s">
        <v>398</v>
      </c>
      <c r="B283" s="11" t="s">
        <v>79</v>
      </c>
      <c r="C283" s="6" t="s">
        <v>1130</v>
      </c>
      <c r="D283" s="17"/>
      <c r="E283" s="17"/>
      <c r="F283" s="6" t="s">
        <v>1131</v>
      </c>
      <c r="G283" s="15" t="str" cm="1">
        <f t="array" ref="G283">MultiMatchPrefix(Table_Data[[#This Row],[D ID]],Table_Mappings[Data ID],0,"",TRUE,";
")</f>
        <v>02.05 Purchase Order management for goods or kits;
02.12 Purchase Order management for services or works</v>
      </c>
      <c r="I283" s="19" t="s">
        <v>2733</v>
      </c>
      <c r="J283" s="19" t="s">
        <v>2736</v>
      </c>
    </row>
    <row r="284" spans="1:14" x14ac:dyDescent="0.25">
      <c r="A284" s="20" t="s">
        <v>1132</v>
      </c>
      <c r="B284" s="11" t="s">
        <v>640</v>
      </c>
      <c r="C284" s="6" t="s">
        <v>1130</v>
      </c>
      <c r="D284" s="6" t="s">
        <v>1133</v>
      </c>
      <c r="E284" s="17"/>
      <c r="F284" s="6" t="s">
        <v>1134</v>
      </c>
      <c r="G284" s="15" t="str" cm="1">
        <f t="array" ref="G284">MultiMatchPrefix(Table_Data[[#This Row],[D ID]],Table_Mappings[Data ID],0,"",TRUE,";
")</f>
        <v/>
      </c>
    </row>
    <row r="285" spans="1:14" x14ac:dyDescent="0.25">
      <c r="A285" s="20" t="s">
        <v>1135</v>
      </c>
      <c r="B285" s="11" t="s">
        <v>643</v>
      </c>
      <c r="C285" s="6" t="s">
        <v>1130</v>
      </c>
      <c r="D285" s="6" t="s">
        <v>1133</v>
      </c>
      <c r="E285" s="6" t="s">
        <v>1098</v>
      </c>
      <c r="F285" s="6" t="s">
        <v>81</v>
      </c>
      <c r="G285" s="15" t="str" cm="1">
        <f t="array" ref="G285">MultiMatchPrefix(Table_Data[[#This Row],[D ID]],Table_Mappings[Data ID],0,"",TRUE,";
")</f>
        <v/>
      </c>
    </row>
    <row r="286" spans="1:14" x14ac:dyDescent="0.25">
      <c r="A286" s="20" t="s">
        <v>1136</v>
      </c>
      <c r="B286" s="11" t="s">
        <v>643</v>
      </c>
      <c r="C286" s="6" t="s">
        <v>1130</v>
      </c>
      <c r="D286" s="6" t="s">
        <v>1133</v>
      </c>
      <c r="E286" s="6" t="s">
        <v>1137</v>
      </c>
      <c r="F286" s="6" t="s">
        <v>81</v>
      </c>
      <c r="G286" s="15" t="str" cm="1">
        <f t="array" ref="G286">MultiMatchPrefix(Table_Data[[#This Row],[D ID]],Table_Mappings[Data ID],0,"",TRUE,";
")</f>
        <v/>
      </c>
      <c r="I286" s="19" t="s">
        <v>2632</v>
      </c>
      <c r="J286" s="19" t="s">
        <v>2633</v>
      </c>
      <c r="K286" s="19" t="s">
        <v>2633</v>
      </c>
      <c r="L286" s="19" t="s">
        <v>2634</v>
      </c>
      <c r="M286" s="19" t="s">
        <v>2684</v>
      </c>
      <c r="N286" s="181">
        <v>100</v>
      </c>
    </row>
    <row r="287" spans="1:14" x14ac:dyDescent="0.25">
      <c r="A287" s="20" t="s">
        <v>1138</v>
      </c>
      <c r="B287" s="11" t="s">
        <v>643</v>
      </c>
      <c r="C287" s="6" t="s">
        <v>1130</v>
      </c>
      <c r="D287" s="6" t="s">
        <v>1133</v>
      </c>
      <c r="E287" s="6" t="s">
        <v>1139</v>
      </c>
      <c r="F287" s="6" t="s">
        <v>81</v>
      </c>
      <c r="G287" s="15" t="str" cm="1">
        <f t="array" ref="G287">MultiMatchPrefix(Table_Data[[#This Row],[D ID]],Table_Mappings[Data ID],0,"",TRUE,";
")</f>
        <v/>
      </c>
    </row>
    <row r="288" spans="1:14" x14ac:dyDescent="0.25">
      <c r="A288" s="20" t="s">
        <v>1140</v>
      </c>
      <c r="B288" s="11" t="s">
        <v>643</v>
      </c>
      <c r="C288" s="6" t="s">
        <v>1130</v>
      </c>
      <c r="D288" s="6" t="s">
        <v>1133</v>
      </c>
      <c r="E288" s="6" t="s">
        <v>1141</v>
      </c>
      <c r="F288" s="6" t="s">
        <v>81</v>
      </c>
      <c r="G288" s="15" t="str" cm="1">
        <f t="array" ref="G288">MultiMatchPrefix(Table_Data[[#This Row],[D ID]],Table_Mappings[Data ID],0,"",TRUE,";
")</f>
        <v/>
      </c>
    </row>
    <row r="289" spans="1:7" ht="37.5" x14ac:dyDescent="0.25">
      <c r="A289" s="20" t="s">
        <v>1142</v>
      </c>
      <c r="B289" s="11" t="s">
        <v>640</v>
      </c>
      <c r="C289" s="6" t="s">
        <v>1130</v>
      </c>
      <c r="D289" s="6" t="s">
        <v>1143</v>
      </c>
      <c r="E289" s="17"/>
      <c r="F289" s="6" t="s">
        <v>1144</v>
      </c>
      <c r="G289" s="15" t="str" cm="1">
        <f t="array" ref="G289">MultiMatchPrefix(Table_Data[[#This Row],[D ID]],Table_Mappings[Data ID],0,"",TRUE,";
")</f>
        <v/>
      </c>
    </row>
    <row r="290" spans="1:7" ht="25" x14ac:dyDescent="0.25">
      <c r="A290" s="20" t="s">
        <v>1145</v>
      </c>
      <c r="B290" s="11" t="s">
        <v>643</v>
      </c>
      <c r="C290" s="6" t="s">
        <v>1130</v>
      </c>
      <c r="D290" s="6" t="s">
        <v>1143</v>
      </c>
      <c r="E290" s="6" t="s">
        <v>1146</v>
      </c>
      <c r="F290" s="6" t="s">
        <v>1147</v>
      </c>
      <c r="G290" s="15" t="str" cm="1">
        <f t="array" ref="G290">MultiMatchPrefix(Table_Data[[#This Row],[D ID]],Table_Mappings[Data ID],0,"",TRUE,";
")</f>
        <v/>
      </c>
    </row>
    <row r="291" spans="1:7" ht="25" x14ac:dyDescent="0.25">
      <c r="A291" s="20" t="s">
        <v>1148</v>
      </c>
      <c r="B291" s="11" t="s">
        <v>643</v>
      </c>
      <c r="C291" s="6" t="s">
        <v>1130</v>
      </c>
      <c r="D291" s="6" t="s">
        <v>1143</v>
      </c>
      <c r="E291" s="6" t="s">
        <v>1149</v>
      </c>
      <c r="F291" s="6" t="s">
        <v>1150</v>
      </c>
      <c r="G291" s="15" t="str" cm="1">
        <f t="array" ref="G291">MultiMatchPrefix(Table_Data[[#This Row],[D ID]],Table_Mappings[Data ID],0,"",TRUE,";
")</f>
        <v/>
      </c>
    </row>
    <row r="292" spans="1:7" ht="25" x14ac:dyDescent="0.25">
      <c r="A292" s="20" t="s">
        <v>1151</v>
      </c>
      <c r="B292" s="11" t="s">
        <v>643</v>
      </c>
      <c r="C292" s="6" t="s">
        <v>1130</v>
      </c>
      <c r="D292" s="6" t="s">
        <v>1143</v>
      </c>
      <c r="E292" s="6" t="s">
        <v>1152</v>
      </c>
      <c r="F292" s="6" t="s">
        <v>1153</v>
      </c>
      <c r="G292" s="15" t="str" cm="1">
        <f t="array" ref="G292">MultiMatchPrefix(Table_Data[[#This Row],[D ID]],Table_Mappings[Data ID],0,"",TRUE,";
")</f>
        <v/>
      </c>
    </row>
    <row r="293" spans="1:7" ht="25" x14ac:dyDescent="0.25">
      <c r="A293" s="20" t="s">
        <v>1154</v>
      </c>
      <c r="B293" s="11" t="s">
        <v>643</v>
      </c>
      <c r="C293" s="6" t="s">
        <v>1130</v>
      </c>
      <c r="D293" s="6" t="s">
        <v>1143</v>
      </c>
      <c r="E293" s="6" t="s">
        <v>1155</v>
      </c>
      <c r="F293" s="6" t="s">
        <v>1156</v>
      </c>
      <c r="G293" s="15" t="str" cm="1">
        <f t="array" ref="G293">MultiMatchPrefix(Table_Data[[#This Row],[D ID]],Table_Mappings[Data ID],0,"",TRUE,";
")</f>
        <v/>
      </c>
    </row>
    <row r="294" spans="1:7" ht="25" x14ac:dyDescent="0.25">
      <c r="A294" s="20" t="s">
        <v>1157</v>
      </c>
      <c r="B294" s="11" t="s">
        <v>640</v>
      </c>
      <c r="C294" s="6" t="s">
        <v>1130</v>
      </c>
      <c r="D294" s="6" t="s">
        <v>1158</v>
      </c>
      <c r="E294" s="17"/>
      <c r="F294" s="6" t="s">
        <v>1159</v>
      </c>
      <c r="G294" s="15" t="str" cm="1">
        <f t="array" ref="G294">MultiMatchPrefix(Table_Data[[#This Row],[D ID]],Table_Mappings[Data ID],0,"",TRUE,";
")</f>
        <v/>
      </c>
    </row>
    <row r="295" spans="1:7" x14ac:dyDescent="0.25">
      <c r="A295" s="20" t="s">
        <v>1160</v>
      </c>
      <c r="B295" s="11" t="s">
        <v>643</v>
      </c>
      <c r="C295" s="6" t="s">
        <v>1130</v>
      </c>
      <c r="D295" s="6" t="s">
        <v>1158</v>
      </c>
      <c r="E295" s="6" t="s">
        <v>1161</v>
      </c>
      <c r="F295" s="6" t="s">
        <v>81</v>
      </c>
      <c r="G295" s="15" t="str" cm="1">
        <f t="array" ref="G295">MultiMatchPrefix(Table_Data[[#This Row],[D ID]],Table_Mappings[Data ID],0,"",TRUE,";
")</f>
        <v/>
      </c>
    </row>
    <row r="296" spans="1:7" x14ac:dyDescent="0.25">
      <c r="A296" s="20" t="s">
        <v>1162</v>
      </c>
      <c r="B296" s="11" t="s">
        <v>643</v>
      </c>
      <c r="C296" s="6" t="s">
        <v>1130</v>
      </c>
      <c r="D296" s="6" t="s">
        <v>1158</v>
      </c>
      <c r="E296" s="6" t="s">
        <v>1163</v>
      </c>
      <c r="F296" s="6" t="s">
        <v>81</v>
      </c>
      <c r="G296" s="15" t="str" cm="1">
        <f t="array" ref="G296">MultiMatchPrefix(Table_Data[[#This Row],[D ID]],Table_Mappings[Data ID],0,"",TRUE,";
")</f>
        <v/>
      </c>
    </row>
    <row r="297" spans="1:7" x14ac:dyDescent="0.25">
      <c r="A297" s="20" t="s">
        <v>1164</v>
      </c>
      <c r="B297" s="11" t="s">
        <v>643</v>
      </c>
      <c r="C297" s="6" t="s">
        <v>1130</v>
      </c>
      <c r="D297" s="6" t="s">
        <v>1158</v>
      </c>
      <c r="E297" s="6" t="s">
        <v>1165</v>
      </c>
      <c r="F297" s="6" t="s">
        <v>81</v>
      </c>
      <c r="G297" s="15" t="str" cm="1">
        <f t="array" ref="G297">MultiMatchPrefix(Table_Data[[#This Row],[D ID]],Table_Mappings[Data ID],0,"",TRUE,";
")</f>
        <v/>
      </c>
    </row>
    <row r="298" spans="1:7" x14ac:dyDescent="0.25">
      <c r="A298" s="20" t="s">
        <v>1166</v>
      </c>
      <c r="B298" s="11" t="s">
        <v>643</v>
      </c>
      <c r="C298" s="6" t="s">
        <v>1130</v>
      </c>
      <c r="D298" s="6" t="s">
        <v>1158</v>
      </c>
      <c r="E298" s="6" t="s">
        <v>1167</v>
      </c>
      <c r="F298" s="6" t="s">
        <v>81</v>
      </c>
      <c r="G298" s="15" t="str" cm="1">
        <f t="array" ref="G298">MultiMatchPrefix(Table_Data[[#This Row],[D ID]],Table_Mappings[Data ID],0,"",TRUE,";
")</f>
        <v/>
      </c>
    </row>
    <row r="299" spans="1:7" x14ac:dyDescent="0.25">
      <c r="A299" s="20" t="s">
        <v>1168</v>
      </c>
      <c r="B299" s="11" t="s">
        <v>643</v>
      </c>
      <c r="C299" s="6" t="s">
        <v>1130</v>
      </c>
      <c r="D299" s="6" t="s">
        <v>1158</v>
      </c>
      <c r="E299" s="6" t="s">
        <v>1169</v>
      </c>
      <c r="F299" s="6" t="s">
        <v>81</v>
      </c>
      <c r="G299" s="15" t="str" cm="1">
        <f t="array" ref="G299">MultiMatchPrefix(Table_Data[[#This Row],[D ID]],Table_Mappings[Data ID],0,"",TRUE,";
")</f>
        <v/>
      </c>
    </row>
    <row r="300" spans="1:7" x14ac:dyDescent="0.25">
      <c r="A300" s="20" t="s">
        <v>1170</v>
      </c>
      <c r="B300" s="11" t="s">
        <v>643</v>
      </c>
      <c r="C300" s="6" t="s">
        <v>1130</v>
      </c>
      <c r="D300" s="6" t="s">
        <v>1158</v>
      </c>
      <c r="E300" s="6" t="s">
        <v>856</v>
      </c>
      <c r="F300" s="6" t="s">
        <v>81</v>
      </c>
      <c r="G300" s="15" t="str" cm="1">
        <f t="array" ref="G300">MultiMatchPrefix(Table_Data[[#This Row],[D ID]],Table_Mappings[Data ID],0,"",TRUE,";
")</f>
        <v/>
      </c>
    </row>
    <row r="301" spans="1:7" x14ac:dyDescent="0.25">
      <c r="A301" s="20" t="s">
        <v>1171</v>
      </c>
      <c r="B301" s="11" t="s">
        <v>643</v>
      </c>
      <c r="C301" s="6" t="s">
        <v>1130</v>
      </c>
      <c r="D301" s="6" t="s">
        <v>1158</v>
      </c>
      <c r="E301" s="6" t="s">
        <v>1172</v>
      </c>
      <c r="F301" s="6" t="s">
        <v>81</v>
      </c>
      <c r="G301" s="15" t="str" cm="1">
        <f t="array" ref="G301">MultiMatchPrefix(Table_Data[[#This Row],[D ID]],Table_Mappings[Data ID],0,"",TRUE,";
")</f>
        <v/>
      </c>
    </row>
    <row r="302" spans="1:7" x14ac:dyDescent="0.25">
      <c r="A302" s="20" t="s">
        <v>1173</v>
      </c>
      <c r="B302" s="11" t="s">
        <v>643</v>
      </c>
      <c r="C302" s="6" t="s">
        <v>1130</v>
      </c>
      <c r="D302" s="6" t="s">
        <v>1158</v>
      </c>
      <c r="E302" s="6" t="s">
        <v>679</v>
      </c>
      <c r="F302" s="6" t="s">
        <v>81</v>
      </c>
      <c r="G302" s="15" t="str" cm="1">
        <f t="array" ref="G302">MultiMatchPrefix(Table_Data[[#This Row],[D ID]],Table_Mappings[Data ID],0,"",TRUE,";
")</f>
        <v/>
      </c>
    </row>
    <row r="303" spans="1:7" x14ac:dyDescent="0.25">
      <c r="A303" s="20" t="s">
        <v>1174</v>
      </c>
      <c r="B303" s="11" t="s">
        <v>643</v>
      </c>
      <c r="C303" s="6" t="s">
        <v>1130</v>
      </c>
      <c r="D303" s="6" t="s">
        <v>1158</v>
      </c>
      <c r="E303" s="6" t="s">
        <v>878</v>
      </c>
      <c r="F303" s="6" t="s">
        <v>81</v>
      </c>
      <c r="G303" s="15" t="str" cm="1">
        <f t="array" ref="G303">MultiMatchPrefix(Table_Data[[#This Row],[D ID]],Table_Mappings[Data ID],0,"",TRUE,";
")</f>
        <v/>
      </c>
    </row>
    <row r="304" spans="1:7" x14ac:dyDescent="0.25">
      <c r="A304" s="20" t="s">
        <v>1175</v>
      </c>
      <c r="B304" s="11" t="s">
        <v>643</v>
      </c>
      <c r="C304" s="6" t="s">
        <v>1130</v>
      </c>
      <c r="D304" s="6" t="s">
        <v>1158</v>
      </c>
      <c r="E304" s="6" t="s">
        <v>650</v>
      </c>
      <c r="F304" s="6" t="s">
        <v>81</v>
      </c>
      <c r="G304" s="15" t="str" cm="1">
        <f t="array" ref="G304">MultiMatchPrefix(Table_Data[[#This Row],[D ID]],Table_Mappings[Data ID],0,"",TRUE,";
")</f>
        <v/>
      </c>
    </row>
    <row r="305" spans="1:14" x14ac:dyDescent="0.25">
      <c r="A305" s="20" t="s">
        <v>1176</v>
      </c>
      <c r="B305" s="11" t="s">
        <v>643</v>
      </c>
      <c r="C305" s="6" t="s">
        <v>1130</v>
      </c>
      <c r="D305" s="6" t="s">
        <v>1158</v>
      </c>
      <c r="E305" s="6" t="s">
        <v>1177</v>
      </c>
      <c r="F305" s="6" t="s">
        <v>81</v>
      </c>
      <c r="G305" s="15" t="str" cm="1">
        <f t="array" ref="G305">MultiMatchPrefix(Table_Data[[#This Row],[D ID]],Table_Mappings[Data ID],0,"",TRUE,";
")</f>
        <v/>
      </c>
    </row>
    <row r="306" spans="1:14" x14ac:dyDescent="0.25">
      <c r="A306" s="20" t="s">
        <v>1178</v>
      </c>
      <c r="B306" s="11" t="s">
        <v>643</v>
      </c>
      <c r="C306" s="6" t="s">
        <v>1130</v>
      </c>
      <c r="D306" s="6" t="s">
        <v>1158</v>
      </c>
      <c r="E306" s="6" t="s">
        <v>1179</v>
      </c>
      <c r="F306" s="6" t="s">
        <v>81</v>
      </c>
      <c r="G306" s="15" t="str" cm="1">
        <f t="array" ref="G306">MultiMatchPrefix(Table_Data[[#This Row],[D ID]],Table_Mappings[Data ID],0,"",TRUE,";
")</f>
        <v/>
      </c>
    </row>
    <row r="307" spans="1:14" x14ac:dyDescent="0.25">
      <c r="A307" s="20" t="s">
        <v>1180</v>
      </c>
      <c r="B307" s="11" t="s">
        <v>643</v>
      </c>
      <c r="C307" s="6" t="s">
        <v>1130</v>
      </c>
      <c r="D307" s="6" t="s">
        <v>1158</v>
      </c>
      <c r="E307" s="6" t="s">
        <v>1181</v>
      </c>
      <c r="F307" s="6" t="s">
        <v>81</v>
      </c>
      <c r="G307" s="15" t="str" cm="1">
        <f t="array" ref="G307">MultiMatchPrefix(Table_Data[[#This Row],[D ID]],Table_Mappings[Data ID],0,"",TRUE,";
")</f>
        <v/>
      </c>
    </row>
    <row r="308" spans="1:14" x14ac:dyDescent="0.25">
      <c r="A308" s="20" t="s">
        <v>1182</v>
      </c>
      <c r="B308" s="11" t="s">
        <v>643</v>
      </c>
      <c r="C308" s="6" t="s">
        <v>1130</v>
      </c>
      <c r="D308" s="6" t="s">
        <v>1158</v>
      </c>
      <c r="E308" s="6" t="s">
        <v>1183</v>
      </c>
      <c r="F308" s="6" t="s">
        <v>81</v>
      </c>
      <c r="G308" s="15" t="str" cm="1">
        <f t="array" ref="G308">MultiMatchPrefix(Table_Data[[#This Row],[D ID]],Table_Mappings[Data ID],0,"",TRUE,";
")</f>
        <v/>
      </c>
    </row>
    <row r="309" spans="1:14" x14ac:dyDescent="0.25">
      <c r="A309" s="20" t="s">
        <v>1184</v>
      </c>
      <c r="B309" s="11" t="s">
        <v>643</v>
      </c>
      <c r="C309" s="6" t="s">
        <v>1130</v>
      </c>
      <c r="D309" s="6" t="s">
        <v>1158</v>
      </c>
      <c r="E309" s="6" t="s">
        <v>791</v>
      </c>
      <c r="F309" s="6" t="s">
        <v>81</v>
      </c>
      <c r="G309" s="15" t="str" cm="1">
        <f t="array" ref="G309">MultiMatchPrefix(Table_Data[[#This Row],[D ID]],Table_Mappings[Data ID],0,"",TRUE,";
")</f>
        <v/>
      </c>
    </row>
    <row r="310" spans="1:14" x14ac:dyDescent="0.25">
      <c r="A310" s="20" t="s">
        <v>1185</v>
      </c>
      <c r="B310" s="11" t="s">
        <v>643</v>
      </c>
      <c r="C310" s="6" t="s">
        <v>1130</v>
      </c>
      <c r="D310" s="6" t="s">
        <v>1158</v>
      </c>
      <c r="E310" s="6" t="s">
        <v>1186</v>
      </c>
      <c r="F310" s="6" t="s">
        <v>81</v>
      </c>
      <c r="G310" s="15" t="str" cm="1">
        <f t="array" ref="G310">MultiMatchPrefix(Table_Data[[#This Row],[D ID]],Table_Mappings[Data ID],0,"",TRUE,";
")</f>
        <v/>
      </c>
    </row>
    <row r="311" spans="1:14" x14ac:dyDescent="0.25">
      <c r="A311" s="20" t="s">
        <v>1187</v>
      </c>
      <c r="B311" s="11" t="s">
        <v>643</v>
      </c>
      <c r="C311" s="6" t="s">
        <v>1130</v>
      </c>
      <c r="D311" s="6" t="s">
        <v>1158</v>
      </c>
      <c r="E311" s="6" t="s">
        <v>1188</v>
      </c>
      <c r="F311" s="6" t="s">
        <v>81</v>
      </c>
      <c r="G311" s="15" t="str" cm="1">
        <f t="array" ref="G311">MultiMatchPrefix(Table_Data[[#This Row],[D ID]],Table_Mappings[Data ID],0,"",TRUE,";
")</f>
        <v/>
      </c>
    </row>
    <row r="312" spans="1:14" x14ac:dyDescent="0.25">
      <c r="A312" s="20" t="s">
        <v>1189</v>
      </c>
      <c r="B312" s="11" t="s">
        <v>643</v>
      </c>
      <c r="C312" s="6" t="s">
        <v>1130</v>
      </c>
      <c r="D312" s="6" t="s">
        <v>1158</v>
      </c>
      <c r="E312" s="6" t="s">
        <v>1190</v>
      </c>
      <c r="F312" s="6" t="s">
        <v>81</v>
      </c>
      <c r="G312" s="15" t="str" cm="1">
        <f t="array" ref="G312">MultiMatchPrefix(Table_Data[[#This Row],[D ID]],Table_Mappings[Data ID],0,"",TRUE,";
")</f>
        <v/>
      </c>
    </row>
    <row r="313" spans="1:14" x14ac:dyDescent="0.25">
      <c r="A313" s="20" t="s">
        <v>1191</v>
      </c>
      <c r="B313" s="11" t="s">
        <v>643</v>
      </c>
      <c r="C313" s="6" t="s">
        <v>1130</v>
      </c>
      <c r="D313" s="6" t="s">
        <v>1158</v>
      </c>
      <c r="E313" s="6" t="s">
        <v>1192</v>
      </c>
      <c r="F313" s="6" t="s">
        <v>81</v>
      </c>
      <c r="G313" s="15" t="str" cm="1">
        <f t="array" ref="G313">MultiMatchPrefix(Table_Data[[#This Row],[D ID]],Table_Mappings[Data ID],0,"",TRUE,";
")</f>
        <v/>
      </c>
    </row>
    <row r="314" spans="1:14" x14ac:dyDescent="0.25">
      <c r="A314" s="20" t="s">
        <v>1193</v>
      </c>
      <c r="B314" s="11" t="s">
        <v>643</v>
      </c>
      <c r="C314" s="6" t="s">
        <v>1130</v>
      </c>
      <c r="D314" s="6" t="s">
        <v>1158</v>
      </c>
      <c r="E314" s="6" t="s">
        <v>1194</v>
      </c>
      <c r="F314" s="6" t="s">
        <v>1195</v>
      </c>
      <c r="G314" s="15" t="str" cm="1">
        <f t="array" ref="G314">MultiMatchPrefix(Table_Data[[#This Row],[D ID]],Table_Mappings[Data ID],0,"",TRUE,";
")</f>
        <v/>
      </c>
    </row>
    <row r="315" spans="1:14" x14ac:dyDescent="0.25">
      <c r="A315" s="20" t="s">
        <v>1196</v>
      </c>
      <c r="B315" s="11" t="s">
        <v>643</v>
      </c>
      <c r="C315" s="6" t="s">
        <v>1130</v>
      </c>
      <c r="D315" s="6" t="s">
        <v>1158</v>
      </c>
      <c r="E315" s="6" t="s">
        <v>787</v>
      </c>
      <c r="F315" s="6" t="s">
        <v>81</v>
      </c>
      <c r="G315" s="15" t="str" cm="1">
        <f t="array" ref="G315">MultiMatchPrefix(Table_Data[[#This Row],[D ID]],Table_Mappings[Data ID],0,"",TRUE,";
")</f>
        <v/>
      </c>
    </row>
    <row r="316" spans="1:14" x14ac:dyDescent="0.25">
      <c r="A316" s="20" t="s">
        <v>1197</v>
      </c>
      <c r="B316" s="11" t="s">
        <v>643</v>
      </c>
      <c r="C316" s="6" t="s">
        <v>1130</v>
      </c>
      <c r="D316" s="6" t="s">
        <v>1158</v>
      </c>
      <c r="E316" s="6" t="s">
        <v>783</v>
      </c>
      <c r="F316" s="6" t="s">
        <v>81</v>
      </c>
      <c r="G316" s="15" t="str" cm="1">
        <f t="array" ref="G316">MultiMatchPrefix(Table_Data[[#This Row],[D ID]],Table_Mappings[Data ID],0,"",TRUE,";
")</f>
        <v/>
      </c>
    </row>
    <row r="317" spans="1:14" x14ac:dyDescent="0.25">
      <c r="A317" s="20" t="s">
        <v>1198</v>
      </c>
      <c r="B317" s="11" t="s">
        <v>640</v>
      </c>
      <c r="C317" s="6" t="s">
        <v>1130</v>
      </c>
      <c r="D317" s="6" t="s">
        <v>1199</v>
      </c>
      <c r="E317" s="17"/>
      <c r="F317" s="6" t="s">
        <v>81</v>
      </c>
      <c r="G317" s="15" t="str" cm="1">
        <f t="array" ref="G317">MultiMatchPrefix(Table_Data[[#This Row],[D ID]],Table_Mappings[Data ID],0,"",TRUE,";
")</f>
        <v/>
      </c>
      <c r="I317" s="19" t="s">
        <v>2632</v>
      </c>
      <c r="J317" s="19" t="s">
        <v>2743</v>
      </c>
      <c r="K317" s="19" t="s">
        <v>2743</v>
      </c>
    </row>
    <row r="318" spans="1:14" ht="25" x14ac:dyDescent="0.25">
      <c r="A318" s="20" t="s">
        <v>1200</v>
      </c>
      <c r="B318" s="11" t="s">
        <v>643</v>
      </c>
      <c r="C318" s="6" t="s">
        <v>1130</v>
      </c>
      <c r="D318" s="6" t="s">
        <v>1199</v>
      </c>
      <c r="E318" s="6" t="s">
        <v>1201</v>
      </c>
      <c r="F318" s="6" t="s">
        <v>81</v>
      </c>
      <c r="G318" s="15" t="str" cm="1">
        <f t="array" ref="G318">MultiMatchPrefix(Table_Data[[#This Row],[D ID]],Table_Mappings[Data ID],0,"",TRUE,";
")</f>
        <v/>
      </c>
      <c r="I318" s="19" t="s">
        <v>2632</v>
      </c>
      <c r="J318" s="19" t="s">
        <v>2743</v>
      </c>
      <c r="K318" s="19" t="s">
        <v>2744</v>
      </c>
      <c r="L318" s="19" t="s">
        <v>2745</v>
      </c>
      <c r="N318" s="181" t="s">
        <v>2639</v>
      </c>
    </row>
    <row r="319" spans="1:14" x14ac:dyDescent="0.25">
      <c r="A319" s="20" t="s">
        <v>1202</v>
      </c>
      <c r="B319" s="11" t="s">
        <v>643</v>
      </c>
      <c r="C319" s="6" t="s">
        <v>1130</v>
      </c>
      <c r="D319" s="6" t="s">
        <v>1199</v>
      </c>
      <c r="E319" s="6" t="s">
        <v>1203</v>
      </c>
      <c r="F319" s="6" t="s">
        <v>81</v>
      </c>
      <c r="G319" s="15" t="str" cm="1">
        <f t="array" ref="G319">MultiMatchPrefix(Table_Data[[#This Row],[D ID]],Table_Mappings[Data ID],0,"",TRUE,";
")</f>
        <v/>
      </c>
      <c r="I319" s="19" t="s">
        <v>2632</v>
      </c>
      <c r="J319" s="19" t="s">
        <v>2743</v>
      </c>
      <c r="K319" s="19" t="s">
        <v>2757</v>
      </c>
      <c r="L319" s="19" t="s">
        <v>2758</v>
      </c>
      <c r="N319" s="181" t="s">
        <v>2639</v>
      </c>
    </row>
    <row r="320" spans="1:14" ht="25" x14ac:dyDescent="0.25">
      <c r="A320" s="20" t="s">
        <v>1204</v>
      </c>
      <c r="B320" s="11" t="s">
        <v>643</v>
      </c>
      <c r="C320" s="6" t="s">
        <v>1130</v>
      </c>
      <c r="D320" s="6" t="s">
        <v>1199</v>
      </c>
      <c r="E320" s="6" t="s">
        <v>1205</v>
      </c>
      <c r="F320" s="6" t="s">
        <v>81</v>
      </c>
      <c r="G320" s="15" t="str" cm="1">
        <f t="array" ref="G320">MultiMatchPrefix(Table_Data[[#This Row],[D ID]],Table_Mappings[Data ID],0,"",TRUE,";
")</f>
        <v/>
      </c>
      <c r="I320" s="19" t="s">
        <v>2632</v>
      </c>
      <c r="J320" s="19" t="s">
        <v>2743</v>
      </c>
      <c r="K320" s="19" t="s">
        <v>2746</v>
      </c>
      <c r="L320" s="19" t="s">
        <v>2747</v>
      </c>
      <c r="N320" s="181" t="s">
        <v>2639</v>
      </c>
    </row>
    <row r="321" spans="1:14" x14ac:dyDescent="0.25">
      <c r="A321" s="20" t="s">
        <v>1206</v>
      </c>
      <c r="B321" s="11" t="s">
        <v>643</v>
      </c>
      <c r="C321" s="6" t="s">
        <v>1130</v>
      </c>
      <c r="D321" s="6" t="s">
        <v>1199</v>
      </c>
      <c r="E321" s="6" t="s">
        <v>1207</v>
      </c>
      <c r="F321" s="6" t="s">
        <v>1208</v>
      </c>
      <c r="G321" s="15" t="str" cm="1">
        <f t="array" ref="G321">MultiMatchPrefix(Table_Data[[#This Row],[D ID]],Table_Mappings[Data ID],0,"",TRUE,";
")</f>
        <v/>
      </c>
      <c r="I321" s="19" t="s">
        <v>2632</v>
      </c>
      <c r="J321" s="19" t="s">
        <v>2743</v>
      </c>
      <c r="K321" s="19" t="s">
        <v>1207</v>
      </c>
      <c r="L321" s="19" t="s">
        <v>2748</v>
      </c>
      <c r="N321" s="181" t="s">
        <v>2639</v>
      </c>
    </row>
    <row r="322" spans="1:14" ht="25" x14ac:dyDescent="0.25">
      <c r="A322" s="20" t="s">
        <v>1209</v>
      </c>
      <c r="B322" s="11" t="s">
        <v>643</v>
      </c>
      <c r="C322" s="6" t="s">
        <v>1130</v>
      </c>
      <c r="D322" s="6" t="s">
        <v>1199</v>
      </c>
      <c r="E322" s="6" t="s">
        <v>1210</v>
      </c>
      <c r="F322" s="6" t="s">
        <v>81</v>
      </c>
      <c r="G322" s="15" t="str" cm="1">
        <f t="array" ref="G322">MultiMatchPrefix(Table_Data[[#This Row],[D ID]],Table_Mappings[Data ID],0,"",TRUE,";
")</f>
        <v/>
      </c>
      <c r="I322" s="19" t="s">
        <v>2632</v>
      </c>
      <c r="J322" s="19" t="s">
        <v>2743</v>
      </c>
      <c r="K322" s="19" t="s">
        <v>2749</v>
      </c>
      <c r="L322" s="19" t="s">
        <v>2750</v>
      </c>
      <c r="N322" s="181" t="s">
        <v>2639</v>
      </c>
    </row>
    <row r="323" spans="1:14" x14ac:dyDescent="0.25">
      <c r="A323" s="20" t="s">
        <v>1211</v>
      </c>
      <c r="B323" s="11" t="s">
        <v>640</v>
      </c>
      <c r="C323" s="6" t="s">
        <v>1130</v>
      </c>
      <c r="D323" s="6" t="s">
        <v>1212</v>
      </c>
      <c r="E323" s="17"/>
      <c r="F323" s="6" t="s">
        <v>81</v>
      </c>
      <c r="G323" s="15" t="str" cm="1">
        <f t="array" ref="G323">MultiMatchPrefix(Table_Data[[#This Row],[D ID]],Table_Mappings[Data ID],0,"",TRUE,";
")</f>
        <v/>
      </c>
    </row>
    <row r="324" spans="1:14" x14ac:dyDescent="0.25">
      <c r="A324" s="20" t="s">
        <v>1213</v>
      </c>
      <c r="B324" s="11" t="s">
        <v>643</v>
      </c>
      <c r="C324" s="6" t="s">
        <v>1130</v>
      </c>
      <c r="D324" s="6" t="s">
        <v>1212</v>
      </c>
      <c r="E324" s="6" t="s">
        <v>1214</v>
      </c>
      <c r="F324" s="6" t="s">
        <v>81</v>
      </c>
      <c r="G324" s="15" t="str" cm="1">
        <f t="array" ref="G324">MultiMatchPrefix(Table_Data[[#This Row],[D ID]],Table_Mappings[Data ID],0,"",TRUE,";
")</f>
        <v/>
      </c>
    </row>
    <row r="325" spans="1:14" x14ac:dyDescent="0.25">
      <c r="A325" s="20" t="s">
        <v>1215</v>
      </c>
      <c r="B325" s="11" t="s">
        <v>643</v>
      </c>
      <c r="C325" s="6" t="s">
        <v>1130</v>
      </c>
      <c r="D325" s="6" t="s">
        <v>1212</v>
      </c>
      <c r="E325" s="6" t="s">
        <v>1216</v>
      </c>
      <c r="F325" s="6" t="s">
        <v>81</v>
      </c>
      <c r="G325" s="15" t="str" cm="1">
        <f t="array" ref="G325">MultiMatchPrefix(Table_Data[[#This Row],[D ID]],Table_Mappings[Data ID],0,"",TRUE,";
")</f>
        <v/>
      </c>
    </row>
    <row r="326" spans="1:14" x14ac:dyDescent="0.25">
      <c r="A326" s="20" t="s">
        <v>1217</v>
      </c>
      <c r="B326" s="11" t="s">
        <v>643</v>
      </c>
      <c r="C326" s="6" t="s">
        <v>1130</v>
      </c>
      <c r="D326" s="6" t="s">
        <v>1212</v>
      </c>
      <c r="E326" s="6" t="s">
        <v>1218</v>
      </c>
      <c r="F326" s="6" t="s">
        <v>81</v>
      </c>
      <c r="G326" s="15" t="str" cm="1">
        <f t="array" ref="G326">MultiMatchPrefix(Table_Data[[#This Row],[D ID]],Table_Mappings[Data ID],0,"",TRUE,";
")</f>
        <v/>
      </c>
    </row>
    <row r="327" spans="1:14" x14ac:dyDescent="0.25">
      <c r="A327" s="20" t="s">
        <v>1219</v>
      </c>
      <c r="B327" s="11" t="s">
        <v>643</v>
      </c>
      <c r="C327" s="6" t="s">
        <v>1130</v>
      </c>
      <c r="D327" s="6" t="s">
        <v>1212</v>
      </c>
      <c r="E327" s="6" t="s">
        <v>1220</v>
      </c>
      <c r="F327" s="6" t="s">
        <v>81</v>
      </c>
      <c r="G327" s="15" t="str" cm="1">
        <f t="array" ref="G327">MultiMatchPrefix(Table_Data[[#This Row],[D ID]],Table_Mappings[Data ID],0,"",TRUE,";
")</f>
        <v/>
      </c>
    </row>
    <row r="328" spans="1:14" ht="50" x14ac:dyDescent="0.25">
      <c r="A328" s="20" t="s">
        <v>384</v>
      </c>
      <c r="B328" s="11" t="s">
        <v>79</v>
      </c>
      <c r="C328" s="6" t="s">
        <v>1221</v>
      </c>
      <c r="D328" s="17"/>
      <c r="E328" s="17"/>
      <c r="F328" s="6" t="s">
        <v>1222</v>
      </c>
      <c r="G328" s="15" t="str" cm="1">
        <f t="array" ref="G328">MultiMatchPrefix(Table_Data[[#This Row],[D ID]],Table_Mappings[Data ID],0,"",TRUE,";
")</f>
        <v xml:space="preserve">02.04 Procurement derogation validation ;
02.11 Procurement derogation validation </v>
      </c>
      <c r="I328" s="19" t="s">
        <v>2733</v>
      </c>
      <c r="J328" s="19" t="s">
        <v>2735</v>
      </c>
    </row>
    <row r="329" spans="1:14" x14ac:dyDescent="0.25">
      <c r="A329" s="20" t="s">
        <v>1223</v>
      </c>
      <c r="B329" s="11" t="s">
        <v>640</v>
      </c>
      <c r="C329" s="6" t="s">
        <v>1221</v>
      </c>
      <c r="D329" s="6" t="s">
        <v>1224</v>
      </c>
      <c r="E329" s="17"/>
      <c r="F329" s="6" t="s">
        <v>81</v>
      </c>
      <c r="G329" s="15" t="str" cm="1">
        <f t="array" ref="G329">MultiMatchPrefix(Table_Data[[#This Row],[D ID]],Table_Mappings[Data ID],0,"",TRUE,";
")</f>
        <v/>
      </c>
    </row>
    <row r="330" spans="1:14" x14ac:dyDescent="0.25">
      <c r="A330" s="20" t="s">
        <v>1225</v>
      </c>
      <c r="B330" s="11" t="s">
        <v>643</v>
      </c>
      <c r="C330" s="6" t="s">
        <v>1221</v>
      </c>
      <c r="D330" s="6" t="s">
        <v>1224</v>
      </c>
      <c r="E330" s="6" t="s">
        <v>1226</v>
      </c>
      <c r="F330" s="6" t="s">
        <v>81</v>
      </c>
      <c r="G330" s="15" t="str" cm="1">
        <f t="array" ref="G330">MultiMatchPrefix(Table_Data[[#This Row],[D ID]],Table_Mappings[Data ID],0,"",TRUE,";
")</f>
        <v/>
      </c>
    </row>
    <row r="331" spans="1:14" x14ac:dyDescent="0.25">
      <c r="A331" s="20" t="s">
        <v>1227</v>
      </c>
      <c r="B331" s="11" t="s">
        <v>643</v>
      </c>
      <c r="C331" s="6" t="s">
        <v>1221</v>
      </c>
      <c r="D331" s="6" t="s">
        <v>1224</v>
      </c>
      <c r="E331" s="6" t="s">
        <v>1228</v>
      </c>
      <c r="F331" s="6" t="s">
        <v>1229</v>
      </c>
      <c r="G331" s="15" t="str" cm="1">
        <f t="array" ref="G331">MultiMatchPrefix(Table_Data[[#This Row],[D ID]],Table_Mappings[Data ID],0,"",TRUE,";
")</f>
        <v/>
      </c>
    </row>
    <row r="332" spans="1:14" x14ac:dyDescent="0.25">
      <c r="A332" s="20" t="s">
        <v>1230</v>
      </c>
      <c r="B332" s="11" t="s">
        <v>643</v>
      </c>
      <c r="C332" s="6" t="s">
        <v>1221</v>
      </c>
      <c r="D332" s="6" t="s">
        <v>1224</v>
      </c>
      <c r="E332" s="6" t="s">
        <v>1231</v>
      </c>
      <c r="F332" s="6" t="s">
        <v>81</v>
      </c>
      <c r="G332" s="15" t="str" cm="1">
        <f t="array" ref="G332">MultiMatchPrefix(Table_Data[[#This Row],[D ID]],Table_Mappings[Data ID],0,"",TRUE,";
")</f>
        <v/>
      </c>
    </row>
    <row r="333" spans="1:14" x14ac:dyDescent="0.25">
      <c r="A333" s="20" t="s">
        <v>1232</v>
      </c>
      <c r="B333" s="11" t="s">
        <v>643</v>
      </c>
      <c r="C333" s="6" t="s">
        <v>1221</v>
      </c>
      <c r="D333" s="6" t="s">
        <v>1224</v>
      </c>
      <c r="E333" s="6" t="s">
        <v>1220</v>
      </c>
      <c r="F333" s="6" t="s">
        <v>81</v>
      </c>
      <c r="G333" s="15" t="str" cm="1">
        <f t="array" ref="G333">MultiMatchPrefix(Table_Data[[#This Row],[D ID]],Table_Mappings[Data ID],0,"",TRUE,";
")</f>
        <v/>
      </c>
    </row>
    <row r="334" spans="1:14" x14ac:dyDescent="0.25">
      <c r="A334" s="20" t="s">
        <v>1233</v>
      </c>
      <c r="B334" s="11" t="s">
        <v>640</v>
      </c>
      <c r="C334" s="6" t="s">
        <v>1221</v>
      </c>
      <c r="D334" s="6" t="s">
        <v>1234</v>
      </c>
      <c r="E334" s="17"/>
      <c r="F334" s="6" t="s">
        <v>81</v>
      </c>
      <c r="G334" s="15" t="str" cm="1">
        <f t="array" ref="G334">MultiMatchPrefix(Table_Data[[#This Row],[D ID]],Table_Mappings[Data ID],0,"",TRUE,";
")</f>
        <v/>
      </c>
    </row>
    <row r="335" spans="1:14" x14ac:dyDescent="0.25">
      <c r="A335" s="20" t="s">
        <v>1235</v>
      </c>
      <c r="B335" s="11" t="s">
        <v>643</v>
      </c>
      <c r="C335" s="6" t="s">
        <v>1221</v>
      </c>
      <c r="D335" s="6" t="s">
        <v>1234</v>
      </c>
      <c r="E335" s="6" t="s">
        <v>646</v>
      </c>
      <c r="F335" s="6" t="s">
        <v>81</v>
      </c>
      <c r="G335" s="15" t="str" cm="1">
        <f t="array" ref="G335">MultiMatchPrefix(Table_Data[[#This Row],[D ID]],Table_Mappings[Data ID],0,"",TRUE,";
")</f>
        <v/>
      </c>
    </row>
    <row r="336" spans="1:14" x14ac:dyDescent="0.25">
      <c r="A336" s="20" t="s">
        <v>1236</v>
      </c>
      <c r="B336" s="11" t="s">
        <v>643</v>
      </c>
      <c r="C336" s="6" t="s">
        <v>1221</v>
      </c>
      <c r="D336" s="6" t="s">
        <v>1234</v>
      </c>
      <c r="E336" s="6" t="s">
        <v>644</v>
      </c>
      <c r="F336" s="6" t="s">
        <v>81</v>
      </c>
      <c r="G336" s="15" t="str" cm="1">
        <f t="array" ref="G336">MultiMatchPrefix(Table_Data[[#This Row],[D ID]],Table_Mappings[Data ID],0,"",TRUE,";
")</f>
        <v/>
      </c>
    </row>
    <row r="337" spans="1:14" x14ac:dyDescent="0.25">
      <c r="A337" s="20" t="s">
        <v>1237</v>
      </c>
      <c r="B337" s="11" t="s">
        <v>643</v>
      </c>
      <c r="C337" s="6" t="s">
        <v>1221</v>
      </c>
      <c r="D337" s="6" t="s">
        <v>1234</v>
      </c>
      <c r="E337" s="6" t="s">
        <v>1238</v>
      </c>
      <c r="F337" s="6" t="s">
        <v>81</v>
      </c>
      <c r="G337" s="15" t="str" cm="1">
        <f t="array" ref="G337">MultiMatchPrefix(Table_Data[[#This Row],[D ID]],Table_Mappings[Data ID],0,"",TRUE,";
")</f>
        <v/>
      </c>
    </row>
    <row r="338" spans="1:14" x14ac:dyDescent="0.25">
      <c r="A338" s="20" t="s">
        <v>1239</v>
      </c>
      <c r="B338" s="11" t="s">
        <v>643</v>
      </c>
      <c r="C338" s="6" t="s">
        <v>1221</v>
      </c>
      <c r="D338" s="6" t="s">
        <v>1234</v>
      </c>
      <c r="E338" s="6" t="s">
        <v>650</v>
      </c>
      <c r="F338" s="6" t="s">
        <v>81</v>
      </c>
      <c r="G338" s="15" t="str" cm="1">
        <f t="array" ref="G338">MultiMatchPrefix(Table_Data[[#This Row],[D ID]],Table_Mappings[Data ID],0,"",TRUE,";
")</f>
        <v/>
      </c>
    </row>
    <row r="339" spans="1:14" x14ac:dyDescent="0.25">
      <c r="A339" s="20" t="s">
        <v>1240</v>
      </c>
      <c r="B339" s="11" t="s">
        <v>643</v>
      </c>
      <c r="C339" s="6" t="s">
        <v>1221</v>
      </c>
      <c r="D339" s="6" t="s">
        <v>1234</v>
      </c>
      <c r="E339" s="6" t="s">
        <v>878</v>
      </c>
      <c r="F339" s="6" t="s">
        <v>81</v>
      </c>
      <c r="G339" s="15" t="str" cm="1">
        <f t="array" ref="G339">MultiMatchPrefix(Table_Data[[#This Row],[D ID]],Table_Mappings[Data ID],0,"",TRUE,";
")</f>
        <v/>
      </c>
    </row>
    <row r="340" spans="1:14" x14ac:dyDescent="0.25">
      <c r="A340" s="20" t="s">
        <v>1241</v>
      </c>
      <c r="B340" s="11" t="s">
        <v>643</v>
      </c>
      <c r="C340" s="6" t="s">
        <v>1221</v>
      </c>
      <c r="D340" s="6" t="s">
        <v>1234</v>
      </c>
      <c r="E340" s="6" t="s">
        <v>1242</v>
      </c>
      <c r="F340" s="6" t="s">
        <v>1243</v>
      </c>
      <c r="G340" s="15" t="str" cm="1">
        <f t="array" ref="G340">MultiMatchPrefix(Table_Data[[#This Row],[D ID]],Table_Mappings[Data ID],0,"",TRUE,";
")</f>
        <v/>
      </c>
    </row>
    <row r="341" spans="1:14" x14ac:dyDescent="0.25">
      <c r="A341" s="20" t="s">
        <v>1244</v>
      </c>
      <c r="B341" s="11" t="s">
        <v>643</v>
      </c>
      <c r="C341" s="6" t="s">
        <v>1221</v>
      </c>
      <c r="D341" s="6" t="s">
        <v>1234</v>
      </c>
      <c r="E341" s="6" t="s">
        <v>1245</v>
      </c>
      <c r="F341" s="6" t="s">
        <v>81</v>
      </c>
      <c r="G341" s="15" t="str" cm="1">
        <f t="array" ref="G341">MultiMatchPrefix(Table_Data[[#This Row],[D ID]],Table_Mappings[Data ID],0,"",TRUE,";
")</f>
        <v/>
      </c>
    </row>
    <row r="342" spans="1:14" ht="37.5" x14ac:dyDescent="0.25">
      <c r="A342" s="20" t="s">
        <v>375</v>
      </c>
      <c r="B342" s="11" t="s">
        <v>79</v>
      </c>
      <c r="C342" s="6" t="s">
        <v>1246</v>
      </c>
      <c r="D342" s="17"/>
      <c r="E342" s="17"/>
      <c r="F342" s="6" t="s">
        <v>1247</v>
      </c>
      <c r="G342" s="15" t="str" cm="1">
        <f t="array" ref="G342">MultiMatchPrefix(Table_Data[[#This Row],[D ID]],Table_Mappings[Data ID],0,"",TRUE,";
")</f>
        <v xml:space="preserve">02.02 Markets assessment of goods or kits ;
02.05 Purchase Order management for goods or kits;
02.09 Markets assessment of services or works </v>
      </c>
    </row>
    <row r="343" spans="1:14" x14ac:dyDescent="0.25">
      <c r="A343" s="20" t="s">
        <v>1248</v>
      </c>
      <c r="B343" s="11" t="s">
        <v>640</v>
      </c>
      <c r="C343" s="6" t="s">
        <v>1246</v>
      </c>
      <c r="D343" s="6" t="s">
        <v>1249</v>
      </c>
      <c r="E343" s="17"/>
      <c r="F343" s="6" t="s">
        <v>81</v>
      </c>
      <c r="G343" s="15" t="str" cm="1">
        <f t="array" ref="G343">MultiMatchPrefix(Table_Data[[#This Row],[D ID]],Table_Mappings[Data ID],0,"",TRUE,";
")</f>
        <v/>
      </c>
    </row>
    <row r="344" spans="1:14" x14ac:dyDescent="0.25">
      <c r="A344" s="20" t="s">
        <v>1250</v>
      </c>
      <c r="B344" s="11" t="s">
        <v>643</v>
      </c>
      <c r="C344" s="6" t="s">
        <v>1246</v>
      </c>
      <c r="D344" s="6" t="s">
        <v>1249</v>
      </c>
      <c r="E344" s="6" t="s">
        <v>1251</v>
      </c>
      <c r="F344" s="6" t="s">
        <v>81</v>
      </c>
      <c r="G344" s="15" t="str" cm="1">
        <f t="array" ref="G344">MultiMatchPrefix(Table_Data[[#This Row],[D ID]],Table_Mappings[Data ID],0,"",TRUE,";
")</f>
        <v/>
      </c>
    </row>
    <row r="345" spans="1:14" x14ac:dyDescent="0.25">
      <c r="A345" s="20" t="s">
        <v>1252</v>
      </c>
      <c r="B345" s="11" t="s">
        <v>643</v>
      </c>
      <c r="C345" s="6" t="s">
        <v>1246</v>
      </c>
      <c r="D345" s="6" t="s">
        <v>1249</v>
      </c>
      <c r="E345" s="6" t="s">
        <v>1253</v>
      </c>
      <c r="F345" s="6" t="s">
        <v>81</v>
      </c>
      <c r="G345" s="15" t="str" cm="1">
        <f t="array" ref="G345">MultiMatchPrefix(Table_Data[[#This Row],[D ID]],Table_Mappings[Data ID],0,"",TRUE,";
")</f>
        <v/>
      </c>
    </row>
    <row r="346" spans="1:14" x14ac:dyDescent="0.25">
      <c r="A346" s="20" t="s">
        <v>1254</v>
      </c>
      <c r="B346" s="11" t="s">
        <v>640</v>
      </c>
      <c r="C346" s="6" t="s">
        <v>1246</v>
      </c>
      <c r="D346" s="6" t="s">
        <v>1255</v>
      </c>
      <c r="E346" s="17"/>
      <c r="F346" s="6" t="s">
        <v>81</v>
      </c>
      <c r="G346" s="15" t="str" cm="1">
        <f t="array" ref="G346">MultiMatchPrefix(Table_Data[[#This Row],[D ID]],Table_Mappings[Data ID],0,"",TRUE,";
")</f>
        <v/>
      </c>
    </row>
    <row r="347" spans="1:14" x14ac:dyDescent="0.25">
      <c r="A347" s="20" t="s">
        <v>1256</v>
      </c>
      <c r="B347" s="11" t="s">
        <v>643</v>
      </c>
      <c r="C347" s="6" t="s">
        <v>1246</v>
      </c>
      <c r="D347" s="6" t="s">
        <v>1255</v>
      </c>
      <c r="E347" s="6" t="s">
        <v>1061</v>
      </c>
      <c r="F347" s="6" t="s">
        <v>81</v>
      </c>
      <c r="G347" s="15" t="str" cm="1">
        <f t="array" ref="G347">MultiMatchPrefix(Table_Data[[#This Row],[D ID]],Table_Mappings[Data ID],0,"",TRUE,";
")</f>
        <v/>
      </c>
    </row>
    <row r="348" spans="1:14" x14ac:dyDescent="0.25">
      <c r="A348" s="20" t="s">
        <v>1257</v>
      </c>
      <c r="B348" s="11" t="s">
        <v>643</v>
      </c>
      <c r="C348" s="6" t="s">
        <v>1246</v>
      </c>
      <c r="D348" s="6" t="s">
        <v>1255</v>
      </c>
      <c r="E348" s="6" t="s">
        <v>650</v>
      </c>
      <c r="F348" s="6" t="s">
        <v>81</v>
      </c>
      <c r="G348" s="15" t="str" cm="1">
        <f t="array" ref="G348">MultiMatchPrefix(Table_Data[[#This Row],[D ID]],Table_Mappings[Data ID],0,"",TRUE,";
")</f>
        <v/>
      </c>
    </row>
    <row r="349" spans="1:14" x14ac:dyDescent="0.25">
      <c r="A349" s="20" t="s">
        <v>1258</v>
      </c>
      <c r="B349" s="11" t="s">
        <v>643</v>
      </c>
      <c r="C349" s="6" t="s">
        <v>1246</v>
      </c>
      <c r="D349" s="6" t="s">
        <v>1255</v>
      </c>
      <c r="E349" s="6" t="s">
        <v>1259</v>
      </c>
      <c r="F349" s="6" t="s">
        <v>81</v>
      </c>
      <c r="G349" s="15" t="str" cm="1">
        <f t="array" ref="G349">MultiMatchPrefix(Table_Data[[#This Row],[D ID]],Table_Mappings[Data ID],0,"",TRUE,";
")</f>
        <v/>
      </c>
    </row>
    <row r="350" spans="1:14" ht="25" x14ac:dyDescent="0.25">
      <c r="A350" s="20" t="s">
        <v>409</v>
      </c>
      <c r="B350" s="11" t="s">
        <v>79</v>
      </c>
      <c r="C350" s="6" t="s">
        <v>1260</v>
      </c>
      <c r="D350" s="17"/>
      <c r="E350" s="17"/>
      <c r="F350" s="6" t="s">
        <v>1261</v>
      </c>
      <c r="G350" s="15" t="str" cm="1">
        <f t="array" ref="G350">MultiMatchPrefix(Table_Data[[#This Row],[D ID]],Table_Mappings[Data ID],0,"",TRUE,";
")</f>
        <v>02.07 Donation (Request for in kind donation);
02.15 Donation (Request for donation of service or works)</v>
      </c>
    </row>
    <row r="351" spans="1:14" ht="25" x14ac:dyDescent="0.25">
      <c r="A351" s="20" t="s">
        <v>1262</v>
      </c>
      <c r="B351" s="11" t="s">
        <v>640</v>
      </c>
      <c r="C351" s="6" t="s">
        <v>1260</v>
      </c>
      <c r="D351" s="6" t="s">
        <v>1263</v>
      </c>
      <c r="E351" s="17"/>
      <c r="F351" s="6" t="s">
        <v>81</v>
      </c>
      <c r="G351" s="15" t="str" cm="1">
        <f t="array" ref="G351">MultiMatchPrefix(Table_Data[[#This Row],[D ID]],Table_Mappings[Data ID],0,"",TRUE,";
")</f>
        <v/>
      </c>
      <c r="I351" s="19" t="s">
        <v>2703</v>
      </c>
      <c r="J351" s="19" t="s">
        <v>2685</v>
      </c>
    </row>
    <row r="352" spans="1:14" ht="25" x14ac:dyDescent="0.25">
      <c r="A352" s="20" t="s">
        <v>1264</v>
      </c>
      <c r="B352" s="11" t="s">
        <v>643</v>
      </c>
      <c r="C352" s="6" t="s">
        <v>1260</v>
      </c>
      <c r="D352" s="6" t="s">
        <v>1263</v>
      </c>
      <c r="E352" s="6" t="s">
        <v>1220</v>
      </c>
      <c r="F352" s="6" t="s">
        <v>81</v>
      </c>
      <c r="G352" s="15" t="str" cm="1">
        <f t="array" ref="G352">MultiMatchPrefix(Table_Data[[#This Row],[D ID]],Table_Mappings[Data ID],0,"",TRUE,";
")</f>
        <v/>
      </c>
      <c r="I352" s="19" t="s">
        <v>2632</v>
      </c>
      <c r="J352" s="19" t="s">
        <v>2685</v>
      </c>
      <c r="K352" s="19" t="s">
        <v>2687</v>
      </c>
      <c r="L352" s="19" t="s">
        <v>2688</v>
      </c>
      <c r="N352" s="181">
        <v>100</v>
      </c>
    </row>
    <row r="353" spans="1:14" x14ac:dyDescent="0.25">
      <c r="A353" s="20" t="s">
        <v>1265</v>
      </c>
      <c r="B353" s="11" t="s">
        <v>643</v>
      </c>
      <c r="C353" s="6" t="s">
        <v>1260</v>
      </c>
      <c r="D353" s="6" t="s">
        <v>1263</v>
      </c>
      <c r="E353" s="6" t="s">
        <v>1266</v>
      </c>
      <c r="F353" s="6" t="s">
        <v>81</v>
      </c>
      <c r="G353" s="15" t="str" cm="1">
        <f t="array" ref="G353">MultiMatchPrefix(Table_Data[[#This Row],[D ID]],Table_Mappings[Data ID],0,"",TRUE,";
")</f>
        <v/>
      </c>
      <c r="I353" s="19" t="s">
        <v>2632</v>
      </c>
      <c r="J353" s="19" t="s">
        <v>2633</v>
      </c>
      <c r="K353" s="19" t="s">
        <v>2633</v>
      </c>
      <c r="L353" s="19" t="s">
        <v>2634</v>
      </c>
      <c r="M353" s="19" t="s">
        <v>2684</v>
      </c>
      <c r="N353" s="181">
        <v>100</v>
      </c>
    </row>
    <row r="354" spans="1:14" x14ac:dyDescent="0.25">
      <c r="A354" s="20" t="s">
        <v>1267</v>
      </c>
      <c r="B354" s="11" t="s">
        <v>643</v>
      </c>
      <c r="C354" s="6" t="s">
        <v>1260</v>
      </c>
      <c r="D354" s="6" t="s">
        <v>1263</v>
      </c>
      <c r="E354" s="6" t="s">
        <v>1268</v>
      </c>
      <c r="F354" s="6" t="s">
        <v>81</v>
      </c>
      <c r="G354" s="15" t="str" cm="1">
        <f t="array" ref="G354">MultiMatchPrefix(Table_Data[[#This Row],[D ID]],Table_Mappings[Data ID],0,"",TRUE,";
")</f>
        <v/>
      </c>
      <c r="I354" s="19" t="s">
        <v>2632</v>
      </c>
      <c r="J354" s="19" t="s">
        <v>715</v>
      </c>
      <c r="K354" s="19" t="s">
        <v>715</v>
      </c>
      <c r="L354" s="19" t="s">
        <v>2702</v>
      </c>
      <c r="N354" s="181">
        <v>100</v>
      </c>
    </row>
    <row r="355" spans="1:14" ht="37.5" x14ac:dyDescent="0.25">
      <c r="A355" s="20" t="s">
        <v>1269</v>
      </c>
      <c r="B355" s="11" t="s">
        <v>640</v>
      </c>
      <c r="C355" s="6" t="s">
        <v>1260</v>
      </c>
      <c r="D355" s="6" t="s">
        <v>1270</v>
      </c>
      <c r="E355" s="17"/>
      <c r="F355" s="6" t="s">
        <v>81</v>
      </c>
      <c r="G355" s="15" t="str" cm="1">
        <f t="array" ref="G355">MultiMatchPrefix(Table_Data[[#This Row],[D ID]],Table_Mappings[Data ID],0,"",TRUE,";
")</f>
        <v/>
      </c>
      <c r="I355" s="19" t="s">
        <v>2632</v>
      </c>
      <c r="J355" s="19" t="s">
        <v>2685</v>
      </c>
      <c r="M355" s="19" t="s">
        <v>2704</v>
      </c>
    </row>
    <row r="356" spans="1:14" x14ac:dyDescent="0.25">
      <c r="A356" s="20" t="s">
        <v>1271</v>
      </c>
      <c r="B356" s="11" t="s">
        <v>643</v>
      </c>
      <c r="C356" s="6" t="s">
        <v>1260</v>
      </c>
      <c r="D356" s="6" t="s">
        <v>1270</v>
      </c>
      <c r="E356" s="6" t="s">
        <v>1272</v>
      </c>
      <c r="F356" s="6" t="s">
        <v>81</v>
      </c>
      <c r="G356" s="15" t="str" cm="1">
        <f t="array" ref="G356">MultiMatchPrefix(Table_Data[[#This Row],[D ID]],Table_Mappings[Data ID],0,"",TRUE,";
")</f>
        <v/>
      </c>
      <c r="I356" s="19" t="s">
        <v>2632</v>
      </c>
      <c r="J356" s="19" t="s">
        <v>2633</v>
      </c>
      <c r="K356" s="19" t="s">
        <v>2633</v>
      </c>
      <c r="L356" s="19" t="s">
        <v>2634</v>
      </c>
      <c r="M356" s="19" t="s">
        <v>2684</v>
      </c>
      <c r="N356" s="181">
        <v>100</v>
      </c>
    </row>
    <row r="357" spans="1:14" x14ac:dyDescent="0.25">
      <c r="A357" s="20" t="s">
        <v>1273</v>
      </c>
      <c r="B357" s="11" t="s">
        <v>643</v>
      </c>
      <c r="C357" s="6" t="s">
        <v>1260</v>
      </c>
      <c r="D357" s="6" t="s">
        <v>1270</v>
      </c>
      <c r="E357" s="6" t="s">
        <v>1274</v>
      </c>
      <c r="F357" s="6" t="s">
        <v>81</v>
      </c>
      <c r="G357" s="15" t="str" cm="1">
        <f t="array" ref="G357">MultiMatchPrefix(Table_Data[[#This Row],[D ID]],Table_Mappings[Data ID],0,"",TRUE,";
")</f>
        <v/>
      </c>
      <c r="I357" s="19" t="s">
        <v>2632</v>
      </c>
      <c r="J357" s="19" t="s">
        <v>2692</v>
      </c>
      <c r="K357" s="19" t="s">
        <v>2692</v>
      </c>
      <c r="L357" s="19" t="s">
        <v>2693</v>
      </c>
      <c r="M357" s="19" t="s">
        <v>2692</v>
      </c>
      <c r="N357" s="181">
        <v>100</v>
      </c>
    </row>
    <row r="358" spans="1:14" ht="25" x14ac:dyDescent="0.25">
      <c r="A358" s="20" t="s">
        <v>1275</v>
      </c>
      <c r="B358" s="11" t="s">
        <v>643</v>
      </c>
      <c r="C358" s="6" t="s">
        <v>1260</v>
      </c>
      <c r="D358" s="6" t="s">
        <v>1270</v>
      </c>
      <c r="E358" s="6" t="s">
        <v>1276</v>
      </c>
      <c r="F358" s="6" t="s">
        <v>81</v>
      </c>
      <c r="G358" s="15" t="str" cm="1">
        <f t="array" ref="G358">MultiMatchPrefix(Table_Data[[#This Row],[D ID]],Table_Mappings[Data ID],0,"",TRUE,";
")</f>
        <v/>
      </c>
      <c r="I358" s="19" t="s">
        <v>2632</v>
      </c>
      <c r="J358" s="19" t="s">
        <v>2685</v>
      </c>
      <c r="K358" s="19" t="s">
        <v>2690</v>
      </c>
      <c r="L358" s="19" t="s">
        <v>2691</v>
      </c>
      <c r="N358" s="181">
        <v>100</v>
      </c>
    </row>
    <row r="359" spans="1:14" x14ac:dyDescent="0.25">
      <c r="A359" s="20" t="s">
        <v>1277</v>
      </c>
      <c r="B359" s="11" t="s">
        <v>640</v>
      </c>
      <c r="C359" s="6" t="s">
        <v>1260</v>
      </c>
      <c r="D359" s="6" t="s">
        <v>1278</v>
      </c>
      <c r="E359" s="17"/>
      <c r="F359" s="6" t="s">
        <v>81</v>
      </c>
      <c r="G359" s="15" t="str" cm="1">
        <f t="array" ref="G359">MultiMatchPrefix(Table_Data[[#This Row],[D ID]],Table_Mappings[Data ID],0,"",TRUE,";
")</f>
        <v/>
      </c>
      <c r="I359" s="19" t="s">
        <v>2632</v>
      </c>
      <c r="J359" s="19" t="s">
        <v>2694</v>
      </c>
    </row>
    <row r="360" spans="1:14" x14ac:dyDescent="0.25">
      <c r="A360" s="20" t="s">
        <v>1279</v>
      </c>
      <c r="B360" s="11" t="s">
        <v>643</v>
      </c>
      <c r="C360" s="6" t="s">
        <v>1260</v>
      </c>
      <c r="D360" s="6" t="s">
        <v>1278</v>
      </c>
      <c r="E360" s="6" t="s">
        <v>1280</v>
      </c>
      <c r="F360" s="6" t="s">
        <v>81</v>
      </c>
      <c r="G360" s="15" t="str" cm="1">
        <f t="array" ref="G360">MultiMatchPrefix(Table_Data[[#This Row],[D ID]],Table_Mappings[Data ID],0,"",TRUE,";
")</f>
        <v/>
      </c>
      <c r="I360" s="19" t="s">
        <v>2632</v>
      </c>
      <c r="J360" s="19" t="s">
        <v>2694</v>
      </c>
    </row>
    <row r="361" spans="1:14" x14ac:dyDescent="0.25">
      <c r="A361" s="20" t="s">
        <v>1281</v>
      </c>
      <c r="B361" s="11" t="s">
        <v>643</v>
      </c>
      <c r="C361" s="6" t="s">
        <v>1260</v>
      </c>
      <c r="D361" s="6" t="s">
        <v>1278</v>
      </c>
      <c r="E361" s="6" t="s">
        <v>1282</v>
      </c>
      <c r="F361" s="6" t="s">
        <v>81</v>
      </c>
      <c r="G361" s="15" t="str" cm="1">
        <f t="array" ref="G361">MultiMatchPrefix(Table_Data[[#This Row],[D ID]],Table_Mappings[Data ID],0,"",TRUE,";
")</f>
        <v/>
      </c>
      <c r="I361" s="19" t="s">
        <v>2632</v>
      </c>
      <c r="J361" s="19" t="s">
        <v>2694</v>
      </c>
    </row>
    <row r="362" spans="1:14" x14ac:dyDescent="0.25">
      <c r="A362" s="20" t="s">
        <v>1283</v>
      </c>
      <c r="B362" s="11" t="s">
        <v>643</v>
      </c>
      <c r="C362" s="6" t="s">
        <v>1260</v>
      </c>
      <c r="D362" s="6" t="s">
        <v>1278</v>
      </c>
      <c r="E362" s="6" t="s">
        <v>899</v>
      </c>
      <c r="F362" s="6" t="s">
        <v>81</v>
      </c>
      <c r="G362" s="15" t="str" cm="1">
        <f t="array" ref="G362">MultiMatchPrefix(Table_Data[[#This Row],[D ID]],Table_Mappings[Data ID],0,"",TRUE,";
")</f>
        <v/>
      </c>
      <c r="I362" s="19" t="s">
        <v>2632</v>
      </c>
      <c r="J362" s="19" t="s">
        <v>2694</v>
      </c>
    </row>
    <row r="363" spans="1:14" ht="25" x14ac:dyDescent="0.25">
      <c r="A363" s="20" t="s">
        <v>1284</v>
      </c>
      <c r="B363" s="11" t="s">
        <v>640</v>
      </c>
      <c r="C363" s="6" t="s">
        <v>1260</v>
      </c>
      <c r="D363" s="6" t="s">
        <v>1285</v>
      </c>
      <c r="E363" s="17"/>
      <c r="F363" s="6" t="s">
        <v>81</v>
      </c>
      <c r="G363" s="15" t="str" cm="1">
        <f t="array" ref="G363">MultiMatchPrefix(Table_Data[[#This Row],[D ID]],Table_Mappings[Data ID],0,"",TRUE,";
")</f>
        <v/>
      </c>
      <c r="I363" s="19" t="s">
        <v>2632</v>
      </c>
      <c r="J363" s="19" t="s">
        <v>2685</v>
      </c>
    </row>
    <row r="364" spans="1:14" x14ac:dyDescent="0.25">
      <c r="A364" s="20" t="s">
        <v>1286</v>
      </c>
      <c r="B364" s="11" t="s">
        <v>643</v>
      </c>
      <c r="C364" s="6" t="s">
        <v>1260</v>
      </c>
      <c r="D364" s="6" t="s">
        <v>1285</v>
      </c>
      <c r="E364" s="6" t="s">
        <v>1287</v>
      </c>
      <c r="F364" s="6" t="s">
        <v>81</v>
      </c>
      <c r="G364" s="15" t="str" cm="1">
        <f t="array" ref="G364">MultiMatchPrefix(Table_Data[[#This Row],[D ID]],Table_Mappings[Data ID],0,"",TRUE,";
")</f>
        <v/>
      </c>
      <c r="I364" s="19" t="s">
        <v>2632</v>
      </c>
      <c r="J364" s="19" t="s">
        <v>2694</v>
      </c>
      <c r="K364" s="19" t="s">
        <v>1216</v>
      </c>
      <c r="M364" s="19" t="s">
        <v>2751</v>
      </c>
    </row>
    <row r="365" spans="1:14" x14ac:dyDescent="0.25">
      <c r="A365" s="20" t="s">
        <v>1288</v>
      </c>
      <c r="B365" s="11" t="s">
        <v>643</v>
      </c>
      <c r="C365" s="6" t="s">
        <v>1260</v>
      </c>
      <c r="D365" s="6" t="s">
        <v>1285</v>
      </c>
      <c r="E365" s="6" t="s">
        <v>1282</v>
      </c>
      <c r="F365" s="6" t="s">
        <v>81</v>
      </c>
      <c r="G365" s="15" t="str" cm="1">
        <f t="array" ref="G365">MultiMatchPrefix(Table_Data[[#This Row],[D ID]],Table_Mappings[Data ID],0,"",TRUE,";
")</f>
        <v/>
      </c>
      <c r="I365" s="19" t="s">
        <v>2632</v>
      </c>
      <c r="J365" s="19" t="s">
        <v>2694</v>
      </c>
    </row>
    <row r="366" spans="1:14" x14ac:dyDescent="0.25">
      <c r="A366" s="20" t="s">
        <v>1289</v>
      </c>
      <c r="B366" s="11" t="s">
        <v>643</v>
      </c>
      <c r="C366" s="6" t="s">
        <v>1260</v>
      </c>
      <c r="D366" s="6" t="s">
        <v>1285</v>
      </c>
      <c r="E366" s="6" t="s">
        <v>899</v>
      </c>
      <c r="F366" s="6" t="s">
        <v>81</v>
      </c>
      <c r="G366" s="15" t="str" cm="1">
        <f t="array" ref="G366">MultiMatchPrefix(Table_Data[[#This Row],[D ID]],Table_Mappings[Data ID],0,"",TRUE,";
")</f>
        <v/>
      </c>
      <c r="I366" s="19" t="s">
        <v>2632</v>
      </c>
      <c r="J366" s="19" t="s">
        <v>2694</v>
      </c>
    </row>
    <row r="367" spans="1:14" x14ac:dyDescent="0.25">
      <c r="A367" s="20" t="s">
        <v>1290</v>
      </c>
      <c r="B367" s="11" t="s">
        <v>640</v>
      </c>
      <c r="C367" s="6" t="s">
        <v>1260</v>
      </c>
      <c r="D367" s="6" t="s">
        <v>1291</v>
      </c>
      <c r="E367" s="17"/>
      <c r="F367" s="6" t="s">
        <v>1292</v>
      </c>
      <c r="G367" s="15" t="str" cm="1">
        <f t="array" ref="G367">MultiMatchPrefix(Table_Data[[#This Row],[D ID]],Table_Mappings[Data ID],0,"",TRUE,";
")</f>
        <v/>
      </c>
    </row>
    <row r="368" spans="1:14" x14ac:dyDescent="0.25">
      <c r="A368" s="20" t="s">
        <v>1293</v>
      </c>
      <c r="B368" s="11" t="s">
        <v>643</v>
      </c>
      <c r="C368" s="6" t="s">
        <v>1260</v>
      </c>
      <c r="D368" s="6" t="s">
        <v>1291</v>
      </c>
      <c r="E368" s="6" t="s">
        <v>1294</v>
      </c>
      <c r="F368" s="6" t="s">
        <v>81</v>
      </c>
      <c r="G368" s="15" t="str" cm="1">
        <f t="array" ref="G368">MultiMatchPrefix(Table_Data[[#This Row],[D ID]],Table_Mappings[Data ID],0,"",TRUE,";
")</f>
        <v/>
      </c>
    </row>
    <row r="369" spans="1:14" x14ac:dyDescent="0.25">
      <c r="A369" s="20" t="s">
        <v>1295</v>
      </c>
      <c r="B369" s="11" t="s">
        <v>643</v>
      </c>
      <c r="C369" s="6" t="s">
        <v>1260</v>
      </c>
      <c r="D369" s="6" t="s">
        <v>1291</v>
      </c>
      <c r="E369" s="6" t="s">
        <v>1296</v>
      </c>
      <c r="F369" s="6" t="s">
        <v>81</v>
      </c>
      <c r="G369" s="15" t="str" cm="1">
        <f t="array" ref="G369">MultiMatchPrefix(Table_Data[[#This Row],[D ID]],Table_Mappings[Data ID],0,"",TRUE,";
")</f>
        <v/>
      </c>
    </row>
    <row r="370" spans="1:14" ht="37.5" x14ac:dyDescent="0.25">
      <c r="A370" s="20" t="s">
        <v>437</v>
      </c>
      <c r="B370" s="11" t="s">
        <v>79</v>
      </c>
      <c r="C370" s="6" t="s">
        <v>1297</v>
      </c>
      <c r="D370" s="17"/>
      <c r="E370" s="17"/>
      <c r="F370" s="6" t="s">
        <v>1298</v>
      </c>
      <c r="G370" s="15" t="str" cm="1">
        <f t="array" ref="G370">MultiMatchPrefix(Table_Data[[#This Row],[D ID]],Table_Mappings[Data ID],0,"",TRUE,";
")</f>
        <v>02.13 Confirmation of service delivered ;
02.14 Invoice matching and payment</v>
      </c>
    </row>
    <row r="371" spans="1:14" x14ac:dyDescent="0.25">
      <c r="A371" s="20" t="s">
        <v>1299</v>
      </c>
      <c r="B371" s="11" t="s">
        <v>640</v>
      </c>
      <c r="C371" s="6" t="s">
        <v>1297</v>
      </c>
      <c r="D371" s="6" t="s">
        <v>1300</v>
      </c>
      <c r="E371" s="17"/>
      <c r="F371" s="6" t="s">
        <v>1301</v>
      </c>
      <c r="G371" s="15" t="str" cm="1">
        <f t="array" ref="G371">MultiMatchPrefix(Table_Data[[#This Row],[D ID]],Table_Mappings[Data ID],0,"",TRUE,";
")</f>
        <v/>
      </c>
    </row>
    <row r="372" spans="1:14" x14ac:dyDescent="0.25">
      <c r="A372" s="20" t="s">
        <v>1302</v>
      </c>
      <c r="B372" s="11" t="s">
        <v>643</v>
      </c>
      <c r="C372" s="6" t="s">
        <v>1297</v>
      </c>
      <c r="D372" s="6" t="s">
        <v>1300</v>
      </c>
      <c r="E372" s="6" t="s">
        <v>1303</v>
      </c>
      <c r="F372" s="6" t="s">
        <v>1304</v>
      </c>
      <c r="G372" s="15" t="str" cm="1">
        <f t="array" ref="G372">MultiMatchPrefix(Table_Data[[#This Row],[D ID]],Table_Mappings[Data ID],0,"",TRUE,";
")</f>
        <v/>
      </c>
    </row>
    <row r="373" spans="1:14" x14ac:dyDescent="0.25">
      <c r="A373" s="20" t="s">
        <v>1305</v>
      </c>
      <c r="B373" s="11" t="s">
        <v>643</v>
      </c>
      <c r="C373" s="6" t="s">
        <v>1297</v>
      </c>
      <c r="D373" s="6" t="s">
        <v>1300</v>
      </c>
      <c r="E373" s="6" t="s">
        <v>721</v>
      </c>
      <c r="F373" s="6" t="s">
        <v>81</v>
      </c>
      <c r="G373" s="15" t="str" cm="1">
        <f t="array" ref="G373">MultiMatchPrefix(Table_Data[[#This Row],[D ID]],Table_Mappings[Data ID],0,"",TRUE,";
")</f>
        <v/>
      </c>
    </row>
    <row r="374" spans="1:14" x14ac:dyDescent="0.25">
      <c r="A374" s="20" t="s">
        <v>1306</v>
      </c>
      <c r="B374" s="11" t="s">
        <v>643</v>
      </c>
      <c r="C374" s="6" t="s">
        <v>1297</v>
      </c>
      <c r="D374" s="6" t="s">
        <v>1300</v>
      </c>
      <c r="E374" s="6" t="s">
        <v>723</v>
      </c>
      <c r="F374" s="6" t="s">
        <v>81</v>
      </c>
      <c r="G374" s="15" t="str" cm="1">
        <f t="array" ref="G374">MultiMatchPrefix(Table_Data[[#This Row],[D ID]],Table_Mappings[Data ID],0,"",TRUE,";
")</f>
        <v/>
      </c>
    </row>
    <row r="375" spans="1:14" x14ac:dyDescent="0.25">
      <c r="A375" s="20" t="s">
        <v>1307</v>
      </c>
      <c r="B375" s="11" t="s">
        <v>643</v>
      </c>
      <c r="C375" s="6" t="s">
        <v>1297</v>
      </c>
      <c r="D375" s="6" t="s">
        <v>1300</v>
      </c>
      <c r="E375" s="6" t="s">
        <v>1308</v>
      </c>
      <c r="F375" s="6" t="s">
        <v>81</v>
      </c>
      <c r="G375" s="15" t="str" cm="1">
        <f t="array" ref="G375">MultiMatchPrefix(Table_Data[[#This Row],[D ID]],Table_Mappings[Data ID],0,"",TRUE,";
")</f>
        <v/>
      </c>
    </row>
    <row r="376" spans="1:14" x14ac:dyDescent="0.25">
      <c r="A376" s="20" t="s">
        <v>1309</v>
      </c>
      <c r="B376" s="11" t="s">
        <v>640</v>
      </c>
      <c r="C376" s="6" t="s">
        <v>1297</v>
      </c>
      <c r="D376" s="6" t="s">
        <v>1310</v>
      </c>
      <c r="E376" s="17"/>
      <c r="F376" s="6" t="s">
        <v>81</v>
      </c>
      <c r="G376" s="15" t="str" cm="1">
        <f t="array" ref="G376">MultiMatchPrefix(Table_Data[[#This Row],[D ID]],Table_Mappings[Data ID],0,"",TRUE,";
")</f>
        <v/>
      </c>
    </row>
    <row r="377" spans="1:14" x14ac:dyDescent="0.25">
      <c r="A377" s="20" t="s">
        <v>1311</v>
      </c>
      <c r="B377" s="11" t="s">
        <v>643</v>
      </c>
      <c r="C377" s="6" t="s">
        <v>1297</v>
      </c>
      <c r="D377" s="6" t="s">
        <v>1310</v>
      </c>
      <c r="E377" s="6" t="s">
        <v>1312</v>
      </c>
      <c r="F377" s="6" t="s">
        <v>81</v>
      </c>
      <c r="G377" s="15" t="str" cm="1">
        <f t="array" ref="G377">MultiMatchPrefix(Table_Data[[#This Row],[D ID]],Table_Mappings[Data ID],0,"",TRUE,";
")</f>
        <v/>
      </c>
    </row>
    <row r="378" spans="1:14" x14ac:dyDescent="0.25">
      <c r="A378" s="20" t="s">
        <v>1313</v>
      </c>
      <c r="B378" s="11" t="s">
        <v>640</v>
      </c>
      <c r="C378" s="6" t="s">
        <v>1297</v>
      </c>
      <c r="D378" s="6" t="s">
        <v>1314</v>
      </c>
      <c r="E378" s="17"/>
      <c r="F378" s="6" t="s">
        <v>81</v>
      </c>
      <c r="G378" s="15" t="str" cm="1">
        <f t="array" ref="G378">MultiMatchPrefix(Table_Data[[#This Row],[D ID]],Table_Mappings[Data ID],0,"",TRUE,";
")</f>
        <v/>
      </c>
    </row>
    <row r="379" spans="1:14" x14ac:dyDescent="0.25">
      <c r="A379" s="20" t="s">
        <v>1315</v>
      </c>
      <c r="B379" s="11" t="s">
        <v>643</v>
      </c>
      <c r="C379" s="6" t="s">
        <v>1297</v>
      </c>
      <c r="D379" s="6" t="s">
        <v>1314</v>
      </c>
      <c r="E379" s="6" t="s">
        <v>1308</v>
      </c>
      <c r="F379" s="6" t="s">
        <v>81</v>
      </c>
      <c r="G379" s="15" t="str" cm="1">
        <f t="array" ref="G379">MultiMatchPrefix(Table_Data[[#This Row],[D ID]],Table_Mappings[Data ID],0,"",TRUE,";
")</f>
        <v/>
      </c>
    </row>
    <row r="380" spans="1:14" x14ac:dyDescent="0.25">
      <c r="A380" s="20" t="s">
        <v>1316</v>
      </c>
      <c r="B380" s="11" t="s">
        <v>643</v>
      </c>
      <c r="C380" s="6" t="s">
        <v>1297</v>
      </c>
      <c r="D380" s="6" t="s">
        <v>1314</v>
      </c>
      <c r="E380" s="6" t="s">
        <v>1317</v>
      </c>
      <c r="F380" s="6" t="s">
        <v>81</v>
      </c>
      <c r="G380" s="15" t="str" cm="1">
        <f t="array" ref="G380">MultiMatchPrefix(Table_Data[[#This Row],[D ID]],Table_Mappings[Data ID],0,"",TRUE,";
")</f>
        <v/>
      </c>
    </row>
    <row r="381" spans="1:14" ht="25" x14ac:dyDescent="0.25">
      <c r="A381" s="20" t="s">
        <v>449</v>
      </c>
      <c r="B381" s="11" t="s">
        <v>79</v>
      </c>
      <c r="C381" s="6" t="s">
        <v>1318</v>
      </c>
      <c r="D381" s="17"/>
      <c r="E381" s="17"/>
      <c r="F381" s="6" t="s">
        <v>1319</v>
      </c>
      <c r="G381" s="15" t="str" cm="1">
        <f t="array" ref="G381">MultiMatchPrefix(Table_Data[[#This Row],[D ID]],Table_Mappings[Data ID],0,"",TRUE,";
")</f>
        <v>03.01 Warehousing planning;
03.06 Disassembling kits</v>
      </c>
      <c r="I381" s="19" t="s">
        <v>2713</v>
      </c>
      <c r="J381" s="19" t="s">
        <v>706</v>
      </c>
      <c r="K381" s="19" t="s">
        <v>2714</v>
      </c>
      <c r="L381" s="19" t="s">
        <v>2715</v>
      </c>
    </row>
    <row r="382" spans="1:14" ht="25" x14ac:dyDescent="0.25">
      <c r="A382" s="20" t="s">
        <v>1320</v>
      </c>
      <c r="B382" s="11" t="s">
        <v>640</v>
      </c>
      <c r="C382" s="6" t="s">
        <v>1318</v>
      </c>
      <c r="D382" s="6" t="s">
        <v>1321</v>
      </c>
      <c r="E382" s="17"/>
      <c r="F382" s="6" t="s">
        <v>81</v>
      </c>
      <c r="G382" s="15" t="str" cm="1">
        <f t="array" ref="G382">MultiMatchPrefix(Table_Data[[#This Row],[D ID]],Table_Mappings[Data ID],0,"",TRUE,";
")</f>
        <v/>
      </c>
      <c r="I382" s="19" t="s">
        <v>2713</v>
      </c>
      <c r="J382" s="19" t="s">
        <v>706</v>
      </c>
    </row>
    <row r="383" spans="1:14" ht="25" x14ac:dyDescent="0.25">
      <c r="A383" s="20" t="s">
        <v>1322</v>
      </c>
      <c r="B383" s="11" t="s">
        <v>643</v>
      </c>
      <c r="C383" s="6" t="s">
        <v>1318</v>
      </c>
      <c r="D383" s="6" t="s">
        <v>1321</v>
      </c>
      <c r="E383" s="6" t="s">
        <v>708</v>
      </c>
      <c r="F383" s="6" t="s">
        <v>1323</v>
      </c>
      <c r="G383" s="15" t="str" cm="1">
        <f t="array" ref="G383">MultiMatchPrefix(Table_Data[[#This Row],[D ID]],Table_Mappings[Data ID],0,"",TRUE,";
")</f>
        <v/>
      </c>
      <c r="I383" s="19" t="s">
        <v>2713</v>
      </c>
      <c r="J383" s="19" t="s">
        <v>2716</v>
      </c>
      <c r="K383" s="19" t="s">
        <v>2717</v>
      </c>
      <c r="L383" s="19" t="s">
        <v>2718</v>
      </c>
      <c r="N383" s="181" t="s">
        <v>2639</v>
      </c>
    </row>
    <row r="384" spans="1:14" ht="25" x14ac:dyDescent="0.25">
      <c r="A384" s="20" t="s">
        <v>1324</v>
      </c>
      <c r="B384" s="11" t="s">
        <v>643</v>
      </c>
      <c r="C384" s="6" t="s">
        <v>1318</v>
      </c>
      <c r="D384" s="6" t="s">
        <v>1321</v>
      </c>
      <c r="E384" s="6" t="s">
        <v>710</v>
      </c>
      <c r="F384" s="6" t="s">
        <v>1325</v>
      </c>
      <c r="G384" s="15" t="str" cm="1">
        <f t="array" ref="G384">MultiMatchPrefix(Table_Data[[#This Row],[D ID]],Table_Mappings[Data ID],0,"",TRUE,";
")</f>
        <v/>
      </c>
      <c r="I384" s="19" t="s">
        <v>2713</v>
      </c>
      <c r="J384" s="19" t="s">
        <v>706</v>
      </c>
      <c r="K384" s="19" t="s">
        <v>1216</v>
      </c>
      <c r="L384" s="19" t="s">
        <v>2614</v>
      </c>
    </row>
    <row r="385" spans="1:14" x14ac:dyDescent="0.25">
      <c r="A385" s="20" t="s">
        <v>1326</v>
      </c>
      <c r="B385" s="11" t="s">
        <v>640</v>
      </c>
      <c r="C385" s="6" t="s">
        <v>1318</v>
      </c>
      <c r="D385" s="6" t="s">
        <v>715</v>
      </c>
      <c r="E385" s="17"/>
      <c r="F385" s="6" t="s">
        <v>1327</v>
      </c>
      <c r="G385" s="15" t="str" cm="1">
        <f t="array" ref="G385">MultiMatchPrefix(Table_Data[[#This Row],[D ID]],Table_Mappings[Data ID],0,"",TRUE,";
")</f>
        <v/>
      </c>
      <c r="I385" s="19" t="s">
        <v>2632</v>
      </c>
      <c r="J385" s="19" t="s">
        <v>715</v>
      </c>
      <c r="K385" s="19" t="s">
        <v>715</v>
      </c>
      <c r="L385" s="19" t="s">
        <v>2612</v>
      </c>
      <c r="N385" s="181">
        <v>100</v>
      </c>
    </row>
    <row r="386" spans="1:14" ht="13" x14ac:dyDescent="0.25">
      <c r="A386" s="20" t="s">
        <v>1328</v>
      </c>
      <c r="B386" s="11" t="s">
        <v>643</v>
      </c>
      <c r="C386" s="153" t="s">
        <v>1318</v>
      </c>
      <c r="D386" s="153" t="s">
        <v>715</v>
      </c>
      <c r="E386" s="153" t="s">
        <v>694</v>
      </c>
      <c r="F386" s="6" t="s">
        <v>692</v>
      </c>
      <c r="G386" s="15" t="str" cm="1">
        <f t="array" ref="G386">MultiMatchPrefix(Table_Data[[#This Row],[D ID]],Table_Mappings[Data ID],0,"",TRUE,";
")</f>
        <v/>
      </c>
      <c r="I386" s="19" t="s">
        <v>2632</v>
      </c>
      <c r="J386" s="19" t="s">
        <v>715</v>
      </c>
      <c r="K386" s="19" t="s">
        <v>715</v>
      </c>
      <c r="L386" s="19" t="s">
        <v>2705</v>
      </c>
      <c r="M386" s="19" t="s">
        <v>2673</v>
      </c>
      <c r="N386" s="181">
        <v>100</v>
      </c>
    </row>
    <row r="387" spans="1:14" x14ac:dyDescent="0.25">
      <c r="A387" s="20" t="s">
        <v>1329</v>
      </c>
      <c r="B387" s="11" t="s">
        <v>640</v>
      </c>
      <c r="C387" s="6" t="s">
        <v>1318</v>
      </c>
      <c r="D387" s="6" t="s">
        <v>1330</v>
      </c>
      <c r="E387" s="17"/>
      <c r="F387" s="6" t="s">
        <v>1331</v>
      </c>
      <c r="G387" s="15" t="str" cm="1">
        <f t="array" ref="G387">MultiMatchPrefix(Table_Data[[#This Row],[D ID]],Table_Mappings[Data ID],0,"",TRUE,";
")</f>
        <v/>
      </c>
    </row>
    <row r="388" spans="1:14" x14ac:dyDescent="0.25">
      <c r="A388" s="20" t="s">
        <v>1332</v>
      </c>
      <c r="B388" s="11" t="s">
        <v>643</v>
      </c>
      <c r="C388" s="6" t="s">
        <v>1318</v>
      </c>
      <c r="D388" s="6" t="s">
        <v>1330</v>
      </c>
      <c r="E388" s="6" t="s">
        <v>1333</v>
      </c>
      <c r="F388" s="6" t="s">
        <v>1334</v>
      </c>
      <c r="G388" s="15" t="str" cm="1">
        <f t="array" ref="G388">MultiMatchPrefix(Table_Data[[#This Row],[D ID]],Table_Mappings[Data ID],0,"",TRUE,";
")</f>
        <v/>
      </c>
    </row>
    <row r="389" spans="1:14" x14ac:dyDescent="0.25">
      <c r="A389" s="20" t="s">
        <v>1335</v>
      </c>
      <c r="B389" s="11" t="s">
        <v>643</v>
      </c>
      <c r="C389" s="6" t="s">
        <v>1318</v>
      </c>
      <c r="D389" s="6" t="s">
        <v>1330</v>
      </c>
      <c r="E389" s="6" t="s">
        <v>1336</v>
      </c>
      <c r="F389" s="6" t="s">
        <v>81</v>
      </c>
      <c r="G389" s="15" t="str" cm="1">
        <f t="array" ref="G389">MultiMatchPrefix(Table_Data[[#This Row],[D ID]],Table_Mappings[Data ID],0,"",TRUE,";
")</f>
        <v/>
      </c>
    </row>
    <row r="390" spans="1:14" x14ac:dyDescent="0.25">
      <c r="A390" s="20" t="s">
        <v>1337</v>
      </c>
      <c r="B390" s="11" t="s">
        <v>643</v>
      </c>
      <c r="C390" s="6" t="s">
        <v>1318</v>
      </c>
      <c r="D390" s="6" t="s">
        <v>1330</v>
      </c>
      <c r="E390" s="6" t="s">
        <v>1338</v>
      </c>
      <c r="F390" s="6" t="s">
        <v>81</v>
      </c>
      <c r="G390" s="15" t="str" cm="1">
        <f t="array" ref="G390">MultiMatchPrefix(Table_Data[[#This Row],[D ID]],Table_Mappings[Data ID],0,"",TRUE,";
")</f>
        <v/>
      </c>
    </row>
    <row r="391" spans="1:14" x14ac:dyDescent="0.25">
      <c r="A391" s="20" t="s">
        <v>1339</v>
      </c>
      <c r="B391" s="11" t="s">
        <v>643</v>
      </c>
      <c r="C391" s="6" t="s">
        <v>1318</v>
      </c>
      <c r="D391" s="6" t="s">
        <v>1330</v>
      </c>
      <c r="E391" s="6" t="s">
        <v>1340</v>
      </c>
      <c r="F391" s="6" t="s">
        <v>81</v>
      </c>
      <c r="G391" s="15" t="str" cm="1">
        <f t="array" ref="G391">MultiMatchPrefix(Table_Data[[#This Row],[D ID]],Table_Mappings[Data ID],0,"",TRUE,";
")</f>
        <v/>
      </c>
    </row>
    <row r="392" spans="1:14" ht="50" x14ac:dyDescent="0.25">
      <c r="A392" s="20" t="s">
        <v>451</v>
      </c>
      <c r="B392" s="11" t="s">
        <v>79</v>
      </c>
      <c r="C392" s="6" t="s">
        <v>52</v>
      </c>
      <c r="D392" s="17"/>
      <c r="E392" s="17"/>
      <c r="F392" s="6" t="s">
        <v>1341</v>
      </c>
      <c r="G392" s="15" t="str" cm="1">
        <f t="array" ref="G392">MultiMatchPrefix(Table_Data[[#This Row],[D ID]],Table_Mappings[Data ID],0,"",TRUE,";
")</f>
        <v>03.01 Warehousing planning</v>
      </c>
      <c r="I392" s="19" t="s">
        <v>2737</v>
      </c>
    </row>
    <row r="393" spans="1:14" x14ac:dyDescent="0.25">
      <c r="A393" s="20" t="s">
        <v>1342</v>
      </c>
      <c r="B393" s="11" t="s">
        <v>640</v>
      </c>
      <c r="C393" s="6" t="s">
        <v>52</v>
      </c>
      <c r="D393" s="6" t="s">
        <v>1343</v>
      </c>
      <c r="E393" s="17"/>
      <c r="F393" s="6" t="s">
        <v>1344</v>
      </c>
      <c r="G393" s="15" t="str" cm="1">
        <f t="array" ref="G393">MultiMatchPrefix(Table_Data[[#This Row],[D ID]],Table_Mappings[Data ID],0,"",TRUE,";
")</f>
        <v/>
      </c>
    </row>
    <row r="394" spans="1:14" x14ac:dyDescent="0.25">
      <c r="A394" s="20" t="s">
        <v>1345</v>
      </c>
      <c r="B394" s="11" t="s">
        <v>643</v>
      </c>
      <c r="C394" s="6" t="s">
        <v>52</v>
      </c>
      <c r="D394" s="6" t="s">
        <v>1343</v>
      </c>
      <c r="E394" s="6" t="s">
        <v>1346</v>
      </c>
      <c r="F394" s="6" t="s">
        <v>1347</v>
      </c>
      <c r="G394" s="15" t="str" cm="1">
        <f t="array" ref="G394">MultiMatchPrefix(Table_Data[[#This Row],[D ID]],Table_Mappings[Data ID],0,"",TRUE,";
")</f>
        <v/>
      </c>
    </row>
    <row r="395" spans="1:14" x14ac:dyDescent="0.25">
      <c r="A395" s="20" t="s">
        <v>1348</v>
      </c>
      <c r="B395" s="11" t="s">
        <v>643</v>
      </c>
      <c r="C395" s="6" t="s">
        <v>52</v>
      </c>
      <c r="D395" s="6" t="s">
        <v>1343</v>
      </c>
      <c r="E395" s="6" t="s">
        <v>1349</v>
      </c>
      <c r="F395" s="6" t="s">
        <v>1350</v>
      </c>
      <c r="G395" s="15" t="str" cm="1">
        <f t="array" ref="G395">MultiMatchPrefix(Table_Data[[#This Row],[D ID]],Table_Mappings[Data ID],0,"",TRUE,";
")</f>
        <v/>
      </c>
    </row>
    <row r="396" spans="1:14" x14ac:dyDescent="0.25">
      <c r="A396" s="20" t="s">
        <v>1351</v>
      </c>
      <c r="B396" s="11" t="s">
        <v>640</v>
      </c>
      <c r="C396" s="6" t="s">
        <v>52</v>
      </c>
      <c r="D396" s="6" t="s">
        <v>1352</v>
      </c>
      <c r="E396" s="17"/>
      <c r="F396" s="6" t="s">
        <v>81</v>
      </c>
      <c r="G396" s="15" t="str" cm="1">
        <f t="array" ref="G396">MultiMatchPrefix(Table_Data[[#This Row],[D ID]],Table_Mappings[Data ID],0,"",TRUE,";
")</f>
        <v/>
      </c>
    </row>
    <row r="397" spans="1:14" x14ac:dyDescent="0.25">
      <c r="A397" s="20" t="s">
        <v>1353</v>
      </c>
      <c r="B397" s="11" t="s">
        <v>643</v>
      </c>
      <c r="C397" s="6" t="s">
        <v>52</v>
      </c>
      <c r="D397" s="6" t="s">
        <v>1352</v>
      </c>
      <c r="E397" s="6" t="s">
        <v>1354</v>
      </c>
      <c r="F397" s="6" t="s">
        <v>1355</v>
      </c>
      <c r="G397" s="15" t="str" cm="1">
        <f t="array" ref="G397">MultiMatchPrefix(Table_Data[[#This Row],[D ID]],Table_Mappings[Data ID],0,"",TRUE,";
")</f>
        <v/>
      </c>
    </row>
    <row r="398" spans="1:14" x14ac:dyDescent="0.25">
      <c r="A398" s="20" t="s">
        <v>1356</v>
      </c>
      <c r="B398" s="11" t="s">
        <v>643</v>
      </c>
      <c r="C398" s="6" t="s">
        <v>52</v>
      </c>
      <c r="D398" s="6" t="s">
        <v>1352</v>
      </c>
      <c r="E398" s="6" t="s">
        <v>650</v>
      </c>
      <c r="F398" s="6" t="s">
        <v>81</v>
      </c>
      <c r="G398" s="15" t="str" cm="1">
        <f t="array" ref="G398">MultiMatchPrefix(Table_Data[[#This Row],[D ID]],Table_Mappings[Data ID],0,"",TRUE,";
")</f>
        <v/>
      </c>
    </row>
    <row r="399" spans="1:14" ht="87.5" x14ac:dyDescent="0.25">
      <c r="A399" s="20" t="s">
        <v>474</v>
      </c>
      <c r="B399" s="11" t="s">
        <v>79</v>
      </c>
      <c r="C399" s="6" t="s">
        <v>1357</v>
      </c>
      <c r="D399" s="17"/>
      <c r="E399" s="17"/>
      <c r="F399" s="6" t="s">
        <v>1358</v>
      </c>
      <c r="G399" s="15" t="str" cm="1">
        <f t="array" ref="G399">MultiMatchPrefix(Table_Data[[#This Row],[D ID]],Table_Mappings[Data ID],0,"",TRUE,";
")</f>
        <v>03.08 Outgoing goods or kits;
06.01 Return to supplier;
06.02 Return received loan to owner</v>
      </c>
    </row>
    <row r="400" spans="1:14" x14ac:dyDescent="0.25">
      <c r="A400" s="20" t="s">
        <v>1359</v>
      </c>
      <c r="B400" s="11" t="s">
        <v>640</v>
      </c>
      <c r="C400" s="6" t="s">
        <v>1357</v>
      </c>
      <c r="D400" s="6" t="s">
        <v>1360</v>
      </c>
      <c r="E400" s="17"/>
      <c r="F400" s="6" t="s">
        <v>1361</v>
      </c>
      <c r="G400" s="15" t="str" cm="1">
        <f t="array" ref="G400">MultiMatchPrefix(Table_Data[[#This Row],[D ID]],Table_Mappings[Data ID],0,"",TRUE,";
")</f>
        <v/>
      </c>
    </row>
    <row r="401" spans="1:14" x14ac:dyDescent="0.25">
      <c r="A401" s="20" t="s">
        <v>1362</v>
      </c>
      <c r="B401" s="11" t="s">
        <v>643</v>
      </c>
      <c r="C401" s="6" t="s">
        <v>1357</v>
      </c>
      <c r="D401" s="6" t="s">
        <v>1360</v>
      </c>
      <c r="E401" s="6" t="s">
        <v>1363</v>
      </c>
      <c r="F401" s="6" t="s">
        <v>81</v>
      </c>
      <c r="G401" s="15" t="str" cm="1">
        <f t="array" ref="G401">MultiMatchPrefix(Table_Data[[#This Row],[D ID]],Table_Mappings[Data ID],0,"",TRUE,";
")</f>
        <v/>
      </c>
    </row>
    <row r="402" spans="1:14" x14ac:dyDescent="0.25">
      <c r="A402" s="20" t="s">
        <v>1364</v>
      </c>
      <c r="B402" s="11" t="s">
        <v>643</v>
      </c>
      <c r="C402" s="6" t="s">
        <v>1357</v>
      </c>
      <c r="D402" s="6" t="s">
        <v>1360</v>
      </c>
      <c r="E402" s="6" t="s">
        <v>1365</v>
      </c>
      <c r="F402" s="6" t="s">
        <v>81</v>
      </c>
      <c r="G402" s="15" t="str" cm="1">
        <f t="array" ref="G402">MultiMatchPrefix(Table_Data[[#This Row],[D ID]],Table_Mappings[Data ID],0,"",TRUE,";
")</f>
        <v/>
      </c>
    </row>
    <row r="403" spans="1:14" x14ac:dyDescent="0.25">
      <c r="A403" s="20" t="s">
        <v>1366</v>
      </c>
      <c r="B403" s="11" t="s">
        <v>643</v>
      </c>
      <c r="C403" s="6" t="s">
        <v>1357</v>
      </c>
      <c r="D403" s="6" t="s">
        <v>1360</v>
      </c>
      <c r="E403" s="6" t="s">
        <v>1367</v>
      </c>
      <c r="F403" s="6" t="s">
        <v>81</v>
      </c>
      <c r="G403" s="15" t="str" cm="1">
        <f t="array" ref="G403">MultiMatchPrefix(Table_Data[[#This Row],[D ID]],Table_Mappings[Data ID],0,"",TRUE,";
")</f>
        <v/>
      </c>
    </row>
    <row r="404" spans="1:14" x14ac:dyDescent="0.25">
      <c r="A404" s="20" t="s">
        <v>1368</v>
      </c>
      <c r="B404" s="11" t="s">
        <v>643</v>
      </c>
      <c r="C404" s="6" t="s">
        <v>1357</v>
      </c>
      <c r="D404" s="6" t="s">
        <v>1360</v>
      </c>
      <c r="E404" s="6" t="s">
        <v>1369</v>
      </c>
      <c r="F404" s="6" t="s">
        <v>81</v>
      </c>
      <c r="G404" s="15" t="str" cm="1">
        <f t="array" ref="G404">MultiMatchPrefix(Table_Data[[#This Row],[D ID]],Table_Mappings[Data ID],0,"",TRUE,";
")</f>
        <v/>
      </c>
    </row>
    <row r="405" spans="1:14" x14ac:dyDescent="0.25">
      <c r="A405" s="20" t="s">
        <v>1370</v>
      </c>
      <c r="B405" s="11" t="s">
        <v>643</v>
      </c>
      <c r="C405" s="6" t="s">
        <v>1357</v>
      </c>
      <c r="D405" s="6" t="s">
        <v>1360</v>
      </c>
      <c r="E405" s="6" t="s">
        <v>1371</v>
      </c>
      <c r="F405" s="6" t="s">
        <v>81</v>
      </c>
      <c r="G405" s="15" t="str" cm="1">
        <f t="array" ref="G405">MultiMatchPrefix(Table_Data[[#This Row],[D ID]],Table_Mappings[Data ID],0,"",TRUE,";
")</f>
        <v/>
      </c>
    </row>
    <row r="406" spans="1:14" x14ac:dyDescent="0.25">
      <c r="A406" s="20" t="s">
        <v>1372</v>
      </c>
      <c r="B406" s="11" t="s">
        <v>643</v>
      </c>
      <c r="C406" s="6" t="s">
        <v>1357</v>
      </c>
      <c r="D406" s="6" t="s">
        <v>1360</v>
      </c>
      <c r="E406" s="6" t="s">
        <v>1373</v>
      </c>
      <c r="F406" s="6" t="s">
        <v>1374</v>
      </c>
      <c r="G406" s="15" t="str" cm="1">
        <f t="array" ref="G406">MultiMatchPrefix(Table_Data[[#This Row],[D ID]],Table_Mappings[Data ID],0,"",TRUE,";
")</f>
        <v/>
      </c>
    </row>
    <row r="407" spans="1:14" x14ac:dyDescent="0.25">
      <c r="A407" s="20" t="s">
        <v>1375</v>
      </c>
      <c r="B407" s="11" t="s">
        <v>643</v>
      </c>
      <c r="C407" s="6" t="s">
        <v>1357</v>
      </c>
      <c r="D407" s="6" t="s">
        <v>1360</v>
      </c>
      <c r="E407" s="6" t="s">
        <v>1376</v>
      </c>
      <c r="F407" s="6" t="s">
        <v>1377</v>
      </c>
      <c r="G407" s="15" t="str" cm="1">
        <f t="array" ref="G407">MultiMatchPrefix(Table_Data[[#This Row],[D ID]],Table_Mappings[Data ID],0,"",TRUE,";
")</f>
        <v/>
      </c>
    </row>
    <row r="408" spans="1:14" x14ac:dyDescent="0.25">
      <c r="A408" s="20" t="s">
        <v>1378</v>
      </c>
      <c r="B408" s="11" t="s">
        <v>643</v>
      </c>
      <c r="C408" s="6" t="s">
        <v>1357</v>
      </c>
      <c r="D408" s="6" t="s">
        <v>1360</v>
      </c>
      <c r="E408" s="6" t="s">
        <v>1379</v>
      </c>
      <c r="F408" s="6" t="s">
        <v>81</v>
      </c>
      <c r="G408" s="15" t="str" cm="1">
        <f t="array" ref="G408">MultiMatchPrefix(Table_Data[[#This Row],[D ID]],Table_Mappings[Data ID],0,"",TRUE,";
")</f>
        <v/>
      </c>
    </row>
    <row r="409" spans="1:14" x14ac:dyDescent="0.25">
      <c r="A409" s="20" t="s">
        <v>1380</v>
      </c>
      <c r="B409" s="11" t="s">
        <v>640</v>
      </c>
      <c r="C409" s="6" t="s">
        <v>1357</v>
      </c>
      <c r="D409" s="6" t="s">
        <v>932</v>
      </c>
      <c r="E409" s="17"/>
      <c r="F409" s="6" t="s">
        <v>81</v>
      </c>
      <c r="G409" s="15" t="str" cm="1">
        <f t="array" ref="G409">MultiMatchPrefix(Table_Data[[#This Row],[D ID]],Table_Mappings[Data ID],0,"",TRUE,";
")</f>
        <v/>
      </c>
      <c r="I409" s="19" t="s">
        <v>2632</v>
      </c>
      <c r="J409" s="19" t="s">
        <v>715</v>
      </c>
      <c r="K409" s="19" t="s">
        <v>715</v>
      </c>
      <c r="L409" s="19" t="s">
        <v>2612</v>
      </c>
      <c r="N409" s="181">
        <v>100</v>
      </c>
    </row>
    <row r="410" spans="1:14" ht="13" x14ac:dyDescent="0.25">
      <c r="A410" s="20" t="s">
        <v>1381</v>
      </c>
      <c r="B410" s="11" t="s">
        <v>643</v>
      </c>
      <c r="C410" s="153" t="s">
        <v>1357</v>
      </c>
      <c r="D410" s="153" t="s">
        <v>932</v>
      </c>
      <c r="E410" s="153" t="s">
        <v>694</v>
      </c>
      <c r="F410" s="6" t="s">
        <v>692</v>
      </c>
      <c r="G410" s="15" t="str" cm="1">
        <f t="array" ref="G410">MultiMatchPrefix(Table_Data[[#This Row],[D ID]],Table_Mappings[Data ID],0,"",TRUE,";
")</f>
        <v/>
      </c>
      <c r="I410" s="19" t="s">
        <v>2632</v>
      </c>
      <c r="J410" s="19" t="s">
        <v>715</v>
      </c>
      <c r="M410" s="19" t="s">
        <v>2673</v>
      </c>
      <c r="N410" s="181">
        <v>100</v>
      </c>
    </row>
    <row r="411" spans="1:14" x14ac:dyDescent="0.25">
      <c r="A411" s="20" t="s">
        <v>1382</v>
      </c>
      <c r="B411" s="11" t="s">
        <v>640</v>
      </c>
      <c r="C411" s="6" t="s">
        <v>1357</v>
      </c>
      <c r="D411" s="6" t="s">
        <v>733</v>
      </c>
      <c r="E411" s="17"/>
      <c r="F411" s="6" t="s">
        <v>81</v>
      </c>
      <c r="G411" s="15" t="str" cm="1">
        <f t="array" ref="G411">MultiMatchPrefix(Table_Data[[#This Row],[D ID]],Table_Mappings[Data ID],0,"",TRUE,";
")</f>
        <v/>
      </c>
      <c r="I411" s="19" t="s">
        <v>2632</v>
      </c>
      <c r="J411" s="19" t="s">
        <v>715</v>
      </c>
      <c r="K411" s="19" t="s">
        <v>715</v>
      </c>
      <c r="L411" s="19" t="s">
        <v>2612</v>
      </c>
      <c r="N411" s="181">
        <v>100</v>
      </c>
    </row>
    <row r="412" spans="1:14" ht="13" x14ac:dyDescent="0.25">
      <c r="A412" s="20" t="s">
        <v>1383</v>
      </c>
      <c r="B412" s="11" t="s">
        <v>643</v>
      </c>
      <c r="C412" s="153" t="s">
        <v>1357</v>
      </c>
      <c r="D412" s="153" t="s">
        <v>733</v>
      </c>
      <c r="E412" s="153" t="s">
        <v>694</v>
      </c>
      <c r="F412" s="6" t="s">
        <v>692</v>
      </c>
      <c r="G412" s="15" t="str" cm="1">
        <f t="array" ref="G412">MultiMatchPrefix(Table_Data[[#This Row],[D ID]],Table_Mappings[Data ID],0,"",TRUE,";
")</f>
        <v/>
      </c>
      <c r="I412" s="19" t="s">
        <v>2632</v>
      </c>
      <c r="J412" s="19" t="s">
        <v>715</v>
      </c>
      <c r="M412" s="19" t="s">
        <v>2673</v>
      </c>
      <c r="N412" s="181">
        <v>100</v>
      </c>
    </row>
    <row r="413" spans="1:14" x14ac:dyDescent="0.25">
      <c r="A413" s="20" t="s">
        <v>1384</v>
      </c>
      <c r="B413" s="11" t="s">
        <v>640</v>
      </c>
      <c r="C413" s="6" t="s">
        <v>1357</v>
      </c>
      <c r="D413" s="6" t="s">
        <v>1385</v>
      </c>
      <c r="E413" s="17"/>
      <c r="F413" s="6" t="s">
        <v>81</v>
      </c>
      <c r="G413" s="15" t="str" cm="1">
        <f t="array" ref="G413">MultiMatchPrefix(Table_Data[[#This Row],[D ID]],Table_Mappings[Data ID],0,"",TRUE,";
")</f>
        <v/>
      </c>
    </row>
    <row r="414" spans="1:14" x14ac:dyDescent="0.25">
      <c r="A414" s="20" t="s">
        <v>1386</v>
      </c>
      <c r="B414" s="11" t="s">
        <v>643</v>
      </c>
      <c r="C414" s="6" t="s">
        <v>1357</v>
      </c>
      <c r="D414" s="6" t="s">
        <v>1385</v>
      </c>
      <c r="E414" s="6" t="s">
        <v>644</v>
      </c>
      <c r="F414" s="6" t="s">
        <v>81</v>
      </c>
      <c r="G414" s="15" t="str" cm="1">
        <f t="array" ref="G414">MultiMatchPrefix(Table_Data[[#This Row],[D ID]],Table_Mappings[Data ID],0,"",TRUE,";
")</f>
        <v/>
      </c>
    </row>
    <row r="415" spans="1:14" x14ac:dyDescent="0.25">
      <c r="A415" s="20" t="s">
        <v>1387</v>
      </c>
      <c r="B415" s="11" t="s">
        <v>643</v>
      </c>
      <c r="C415" s="6" t="s">
        <v>1357</v>
      </c>
      <c r="D415" s="6" t="s">
        <v>1385</v>
      </c>
      <c r="E415" s="6" t="s">
        <v>650</v>
      </c>
      <c r="F415" s="6" t="s">
        <v>81</v>
      </c>
      <c r="G415" s="15" t="str" cm="1">
        <f t="array" ref="G415">MultiMatchPrefix(Table_Data[[#This Row],[D ID]],Table_Mappings[Data ID],0,"",TRUE,";
")</f>
        <v/>
      </c>
    </row>
    <row r="416" spans="1:14" x14ac:dyDescent="0.25">
      <c r="A416" s="20" t="s">
        <v>1388</v>
      </c>
      <c r="B416" s="11" t="s">
        <v>643</v>
      </c>
      <c r="C416" s="6" t="s">
        <v>1357</v>
      </c>
      <c r="D416" s="6" t="s">
        <v>1385</v>
      </c>
      <c r="E416" s="6" t="s">
        <v>878</v>
      </c>
      <c r="F416" s="6" t="s">
        <v>81</v>
      </c>
      <c r="G416" s="15" t="str" cm="1">
        <f t="array" ref="G416">MultiMatchPrefix(Table_Data[[#This Row],[D ID]],Table_Mappings[Data ID],0,"",TRUE,";
")</f>
        <v/>
      </c>
    </row>
    <row r="417" spans="1:14" ht="62.5" x14ac:dyDescent="0.25">
      <c r="A417" s="20" t="s">
        <v>405</v>
      </c>
      <c r="B417" s="11" t="s">
        <v>79</v>
      </c>
      <c r="C417" s="6" t="s">
        <v>1389</v>
      </c>
      <c r="D417" s="17"/>
      <c r="E417" s="17"/>
      <c r="F417" s="6" t="s">
        <v>1390</v>
      </c>
      <c r="G417" s="15" t="str" cm="1">
        <f t="array" ref="G417">MultiMatchPrefix(Table_Data[[#This Row],[D ID]],Table_Mappings[Data ID],0,"",TRUE,";
")</f>
        <v>02.06 Invoice matching and payment;
03.02 Reception of goods or kits;
03.03 Reception for direct delivery ;
04.02 Inbound transport of goods;
07.02 Asset reception and registration</v>
      </c>
    </row>
    <row r="418" spans="1:14" ht="25" x14ac:dyDescent="0.25">
      <c r="A418" s="20" t="s">
        <v>1391</v>
      </c>
      <c r="B418" s="11" t="s">
        <v>640</v>
      </c>
      <c r="C418" s="6" t="s">
        <v>1389</v>
      </c>
      <c r="D418" s="6" t="s">
        <v>1392</v>
      </c>
      <c r="E418" s="17"/>
      <c r="F418" s="6" t="s">
        <v>1393</v>
      </c>
      <c r="G418" s="15" t="str" cm="1">
        <f t="array" ref="G418">MultiMatchPrefix(Table_Data[[#This Row],[D ID]],Table_Mappings[Data ID],0,"",TRUE,";
")</f>
        <v/>
      </c>
    </row>
    <row r="419" spans="1:14" x14ac:dyDescent="0.25">
      <c r="A419" s="20" t="s">
        <v>1394</v>
      </c>
      <c r="B419" s="11" t="s">
        <v>643</v>
      </c>
      <c r="C419" s="6" t="s">
        <v>1389</v>
      </c>
      <c r="D419" s="6" t="s">
        <v>1392</v>
      </c>
      <c r="E419" s="6" t="s">
        <v>925</v>
      </c>
      <c r="F419" s="6" t="s">
        <v>1395</v>
      </c>
      <c r="G419" s="15" t="str" cm="1">
        <f t="array" ref="G419">MultiMatchPrefix(Table_Data[[#This Row],[D ID]],Table_Mappings[Data ID],0,"",TRUE,";
")</f>
        <v/>
      </c>
    </row>
    <row r="420" spans="1:14" x14ac:dyDescent="0.25">
      <c r="A420" s="20" t="s">
        <v>1396</v>
      </c>
      <c r="B420" s="11" t="s">
        <v>643</v>
      </c>
      <c r="C420" s="6" t="s">
        <v>1389</v>
      </c>
      <c r="D420" s="6" t="s">
        <v>1392</v>
      </c>
      <c r="E420" s="6" t="s">
        <v>1397</v>
      </c>
      <c r="F420" s="6" t="s">
        <v>1398</v>
      </c>
      <c r="G420" s="15" t="str" cm="1">
        <f t="array" ref="G420">MultiMatchPrefix(Table_Data[[#This Row],[D ID]],Table_Mappings[Data ID],0,"",TRUE,";
")</f>
        <v/>
      </c>
    </row>
    <row r="421" spans="1:14" x14ac:dyDescent="0.25">
      <c r="A421" s="20" t="s">
        <v>1399</v>
      </c>
      <c r="B421" s="11" t="s">
        <v>643</v>
      </c>
      <c r="C421" s="6" t="s">
        <v>1389</v>
      </c>
      <c r="D421" s="6" t="s">
        <v>1392</v>
      </c>
      <c r="E421" s="6" t="s">
        <v>652</v>
      </c>
      <c r="F421" s="6" t="s">
        <v>1400</v>
      </c>
      <c r="G421" s="15" t="str" cm="1">
        <f t="array" ref="G421">MultiMatchPrefix(Table_Data[[#This Row],[D ID]],Table_Mappings[Data ID],0,"",TRUE,";
")</f>
        <v/>
      </c>
    </row>
    <row r="422" spans="1:14" x14ac:dyDescent="0.25">
      <c r="A422" s="20" t="s">
        <v>1401</v>
      </c>
      <c r="B422" s="11" t="s">
        <v>640</v>
      </c>
      <c r="C422" s="6" t="s">
        <v>1389</v>
      </c>
      <c r="D422" s="6" t="s">
        <v>932</v>
      </c>
      <c r="E422" s="17"/>
      <c r="F422" s="6" t="s">
        <v>81</v>
      </c>
      <c r="G422" s="15" t="str" cm="1">
        <f t="array" ref="G422">MultiMatchPrefix(Table_Data[[#This Row],[D ID]],Table_Mappings[Data ID],0,"",TRUE,";
")</f>
        <v/>
      </c>
      <c r="I422" s="19" t="s">
        <v>2632</v>
      </c>
      <c r="J422" s="19" t="s">
        <v>715</v>
      </c>
      <c r="K422" s="19" t="s">
        <v>715</v>
      </c>
      <c r="L422" s="19" t="s">
        <v>2612</v>
      </c>
      <c r="N422" s="181">
        <v>100</v>
      </c>
    </row>
    <row r="423" spans="1:14" ht="13" x14ac:dyDescent="0.25">
      <c r="A423" s="20" t="s">
        <v>1402</v>
      </c>
      <c r="B423" s="11" t="s">
        <v>643</v>
      </c>
      <c r="C423" s="153" t="s">
        <v>1389</v>
      </c>
      <c r="D423" s="153" t="s">
        <v>932</v>
      </c>
      <c r="E423" s="153" t="s">
        <v>694</v>
      </c>
      <c r="F423" s="6" t="s">
        <v>692</v>
      </c>
      <c r="G423" s="15" t="str" cm="1">
        <f t="array" ref="G423">MultiMatchPrefix(Table_Data[[#This Row],[D ID]],Table_Mappings[Data ID],0,"",TRUE,";
")</f>
        <v/>
      </c>
      <c r="I423" s="19" t="s">
        <v>2632</v>
      </c>
      <c r="J423" s="19" t="s">
        <v>715</v>
      </c>
      <c r="M423" s="19" t="s">
        <v>2673</v>
      </c>
      <c r="N423" s="181">
        <v>100</v>
      </c>
    </row>
    <row r="424" spans="1:14" x14ac:dyDescent="0.25">
      <c r="A424" s="20" t="s">
        <v>1403</v>
      </c>
      <c r="B424" s="11" t="s">
        <v>640</v>
      </c>
      <c r="C424" s="6" t="s">
        <v>1389</v>
      </c>
      <c r="D424" s="6" t="s">
        <v>733</v>
      </c>
      <c r="E424" s="17"/>
      <c r="F424" s="6" t="s">
        <v>81</v>
      </c>
      <c r="G424" s="15" t="str" cm="1">
        <f t="array" ref="G424">MultiMatchPrefix(Table_Data[[#This Row],[D ID]],Table_Mappings[Data ID],0,"",TRUE,";
")</f>
        <v/>
      </c>
      <c r="I424" s="19" t="s">
        <v>2632</v>
      </c>
      <c r="J424" s="19" t="s">
        <v>715</v>
      </c>
      <c r="K424" s="19" t="s">
        <v>715</v>
      </c>
      <c r="L424" s="19" t="s">
        <v>2612</v>
      </c>
      <c r="N424" s="181">
        <v>100</v>
      </c>
    </row>
    <row r="425" spans="1:14" ht="13" x14ac:dyDescent="0.25">
      <c r="A425" s="20" t="s">
        <v>1404</v>
      </c>
      <c r="B425" s="11" t="s">
        <v>643</v>
      </c>
      <c r="C425" s="153" t="s">
        <v>1389</v>
      </c>
      <c r="D425" s="153" t="s">
        <v>733</v>
      </c>
      <c r="E425" s="153" t="s">
        <v>694</v>
      </c>
      <c r="F425" s="6" t="s">
        <v>692</v>
      </c>
      <c r="G425" s="15" t="str" cm="1">
        <f t="array" ref="G425">MultiMatchPrefix(Table_Data[[#This Row],[D ID]],Table_Mappings[Data ID],0,"",TRUE,";
")</f>
        <v/>
      </c>
      <c r="I425" s="19" t="s">
        <v>2632</v>
      </c>
      <c r="J425" s="19" t="s">
        <v>715</v>
      </c>
      <c r="M425" s="19" t="s">
        <v>2673</v>
      </c>
      <c r="N425" s="181">
        <v>100</v>
      </c>
    </row>
    <row r="426" spans="1:14" x14ac:dyDescent="0.25">
      <c r="A426" s="20" t="s">
        <v>1405</v>
      </c>
      <c r="B426" s="11" t="s">
        <v>640</v>
      </c>
      <c r="C426" s="6" t="s">
        <v>1389</v>
      </c>
      <c r="D426" s="6" t="s">
        <v>1406</v>
      </c>
      <c r="E426" s="17"/>
      <c r="F426" s="6" t="s">
        <v>1407</v>
      </c>
      <c r="G426" s="15" t="str" cm="1">
        <f t="array" ref="G426">MultiMatchPrefix(Table_Data[[#This Row],[D ID]],Table_Mappings[Data ID],0,"",TRUE,";
")</f>
        <v/>
      </c>
    </row>
    <row r="427" spans="1:14" x14ac:dyDescent="0.25">
      <c r="A427" s="20" t="s">
        <v>1408</v>
      </c>
      <c r="B427" s="11" t="s">
        <v>643</v>
      </c>
      <c r="C427" s="6" t="s">
        <v>1389</v>
      </c>
      <c r="D427" s="6" t="s">
        <v>1406</v>
      </c>
      <c r="E427" s="6" t="s">
        <v>1409</v>
      </c>
      <c r="F427" s="6" t="s">
        <v>81</v>
      </c>
      <c r="G427" s="15" t="str" cm="1">
        <f t="array" ref="G427">MultiMatchPrefix(Table_Data[[#This Row],[D ID]],Table_Mappings[Data ID],0,"",TRUE,";
")</f>
        <v/>
      </c>
    </row>
    <row r="428" spans="1:14" x14ac:dyDescent="0.25">
      <c r="A428" s="20" t="s">
        <v>1410</v>
      </c>
      <c r="B428" s="11" t="s">
        <v>643</v>
      </c>
      <c r="C428" s="6" t="s">
        <v>1389</v>
      </c>
      <c r="D428" s="6" t="s">
        <v>1406</v>
      </c>
      <c r="E428" s="6" t="s">
        <v>889</v>
      </c>
      <c r="F428" s="6" t="s">
        <v>81</v>
      </c>
      <c r="G428" s="15" t="str" cm="1">
        <f t="array" ref="G428">MultiMatchPrefix(Table_Data[[#This Row],[D ID]],Table_Mappings[Data ID],0,"",TRUE,";
")</f>
        <v/>
      </c>
    </row>
    <row r="429" spans="1:14" x14ac:dyDescent="0.25">
      <c r="A429" s="20" t="s">
        <v>1411</v>
      </c>
      <c r="B429" s="11" t="s">
        <v>643</v>
      </c>
      <c r="C429" s="6" t="s">
        <v>1389</v>
      </c>
      <c r="D429" s="6" t="s">
        <v>1406</v>
      </c>
      <c r="E429" s="6" t="s">
        <v>1412</v>
      </c>
      <c r="F429" s="6" t="s">
        <v>81</v>
      </c>
      <c r="G429" s="15" t="str" cm="1">
        <f t="array" ref="G429">MultiMatchPrefix(Table_Data[[#This Row],[D ID]],Table_Mappings[Data ID],0,"",TRUE,";
")</f>
        <v/>
      </c>
    </row>
    <row r="430" spans="1:14" x14ac:dyDescent="0.25">
      <c r="A430" s="20" t="s">
        <v>1413</v>
      </c>
      <c r="B430" s="11" t="s">
        <v>643</v>
      </c>
      <c r="C430" s="6" t="s">
        <v>1389</v>
      </c>
      <c r="D430" s="6" t="s">
        <v>1406</v>
      </c>
      <c r="E430" s="6" t="s">
        <v>1414</v>
      </c>
      <c r="F430" s="6" t="s">
        <v>81</v>
      </c>
      <c r="G430" s="15" t="str" cm="1">
        <f t="array" ref="G430">MultiMatchPrefix(Table_Data[[#This Row],[D ID]],Table_Mappings[Data ID],0,"",TRUE,";
")</f>
        <v/>
      </c>
    </row>
    <row r="431" spans="1:14" x14ac:dyDescent="0.25">
      <c r="A431" s="20" t="s">
        <v>1415</v>
      </c>
      <c r="B431" s="11" t="s">
        <v>643</v>
      </c>
      <c r="C431" s="6" t="s">
        <v>1389</v>
      </c>
      <c r="D431" s="6" t="s">
        <v>1406</v>
      </c>
      <c r="E431" s="6" t="s">
        <v>1416</v>
      </c>
      <c r="F431" s="6" t="s">
        <v>81</v>
      </c>
      <c r="G431" s="15" t="str" cm="1">
        <f t="array" ref="G431">MultiMatchPrefix(Table_Data[[#This Row],[D ID]],Table_Mappings[Data ID],0,"",TRUE,";
")</f>
        <v/>
      </c>
    </row>
    <row r="432" spans="1:14" x14ac:dyDescent="0.25">
      <c r="A432" s="20" t="s">
        <v>1417</v>
      </c>
      <c r="B432" s="11" t="s">
        <v>643</v>
      </c>
      <c r="C432" s="6" t="s">
        <v>1389</v>
      </c>
      <c r="D432" s="6" t="s">
        <v>1406</v>
      </c>
      <c r="E432" s="6" t="s">
        <v>880</v>
      </c>
      <c r="F432" s="6" t="s">
        <v>1418</v>
      </c>
      <c r="G432" s="15" t="str" cm="1">
        <f t="array" ref="G432">MultiMatchPrefix(Table_Data[[#This Row],[D ID]],Table_Mappings[Data ID],0,"",TRUE,";
")</f>
        <v/>
      </c>
    </row>
    <row r="433" spans="1:14" x14ac:dyDescent="0.25">
      <c r="A433" s="20" t="s">
        <v>1419</v>
      </c>
      <c r="B433" s="11" t="s">
        <v>643</v>
      </c>
      <c r="C433" s="6" t="s">
        <v>1389</v>
      </c>
      <c r="D433" s="6" t="s">
        <v>1406</v>
      </c>
      <c r="E433" s="6" t="s">
        <v>882</v>
      </c>
      <c r="F433" s="6" t="s">
        <v>1420</v>
      </c>
      <c r="G433" s="15" t="str" cm="1">
        <f t="array" ref="G433">MultiMatchPrefix(Table_Data[[#This Row],[D ID]],Table_Mappings[Data ID],0,"",TRUE,";
")</f>
        <v/>
      </c>
    </row>
    <row r="434" spans="1:14" ht="25" x14ac:dyDescent="0.25">
      <c r="A434" s="20" t="s">
        <v>1421</v>
      </c>
      <c r="B434" s="11" t="s">
        <v>640</v>
      </c>
      <c r="C434" s="6" t="s">
        <v>1389</v>
      </c>
      <c r="D434" s="6" t="s">
        <v>1007</v>
      </c>
      <c r="E434" s="17"/>
      <c r="F434" s="6" t="s">
        <v>1422</v>
      </c>
      <c r="G434" s="15" t="str" cm="1">
        <f t="array" ref="G434">MultiMatchPrefix(Table_Data[[#This Row],[D ID]],Table_Mappings[Data ID],0,"",TRUE,";
")</f>
        <v/>
      </c>
    </row>
    <row r="435" spans="1:14" x14ac:dyDescent="0.25">
      <c r="A435" s="20" t="s">
        <v>1423</v>
      </c>
      <c r="B435" s="11" t="s">
        <v>643</v>
      </c>
      <c r="C435" s="6" t="s">
        <v>1389</v>
      </c>
      <c r="D435" s="6" t="s">
        <v>1007</v>
      </c>
      <c r="E435" s="6" t="s">
        <v>644</v>
      </c>
      <c r="F435" s="6" t="s">
        <v>81</v>
      </c>
      <c r="G435" s="15" t="str" cm="1">
        <f t="array" ref="G435">MultiMatchPrefix(Table_Data[[#This Row],[D ID]],Table_Mappings[Data ID],0,"",TRUE,";
")</f>
        <v/>
      </c>
    </row>
    <row r="436" spans="1:14" x14ac:dyDescent="0.25">
      <c r="A436" s="20" t="s">
        <v>1424</v>
      </c>
      <c r="B436" s="11" t="s">
        <v>643</v>
      </c>
      <c r="C436" s="6" t="s">
        <v>1389</v>
      </c>
      <c r="D436" s="6" t="s">
        <v>1007</v>
      </c>
      <c r="E436" s="6" t="s">
        <v>646</v>
      </c>
      <c r="F436" s="6" t="s">
        <v>81</v>
      </c>
      <c r="G436" s="15" t="str" cm="1">
        <f t="array" ref="G436">MultiMatchPrefix(Table_Data[[#This Row],[D ID]],Table_Mappings[Data ID],0,"",TRUE,";
")</f>
        <v/>
      </c>
    </row>
    <row r="437" spans="1:14" x14ac:dyDescent="0.25">
      <c r="A437" s="20" t="s">
        <v>1425</v>
      </c>
      <c r="B437" s="11" t="s">
        <v>643</v>
      </c>
      <c r="C437" s="6" t="s">
        <v>1389</v>
      </c>
      <c r="D437" s="6" t="s">
        <v>1007</v>
      </c>
      <c r="E437" s="6" t="s">
        <v>650</v>
      </c>
      <c r="F437" s="6" t="s">
        <v>81</v>
      </c>
      <c r="G437" s="15" t="str" cm="1">
        <f t="array" ref="G437">MultiMatchPrefix(Table_Data[[#This Row],[D ID]],Table_Mappings[Data ID],0,"",TRUE,";
")</f>
        <v/>
      </c>
    </row>
    <row r="438" spans="1:14" ht="25" x14ac:dyDescent="0.25">
      <c r="A438" s="20" t="s">
        <v>465</v>
      </c>
      <c r="B438" s="11" t="s">
        <v>79</v>
      </c>
      <c r="C438" s="6" t="s">
        <v>1426</v>
      </c>
      <c r="D438" s="17"/>
      <c r="E438" s="17"/>
      <c r="F438" s="6" t="s">
        <v>1427</v>
      </c>
      <c r="G438" s="15" t="str" cm="1">
        <f t="array" ref="G438">MultiMatchPrefix(Table_Data[[#This Row],[D ID]],Table_Mappings[Data ID],0,"",TRUE,";
")</f>
        <v>03.05 Assembling kits;
03.08 Outgoing goods or kits</v>
      </c>
    </row>
    <row r="439" spans="1:14" x14ac:dyDescent="0.25">
      <c r="A439" s="20" t="s">
        <v>1428</v>
      </c>
      <c r="B439" s="11" t="s">
        <v>640</v>
      </c>
      <c r="C439" s="6" t="s">
        <v>1426</v>
      </c>
      <c r="D439" s="6" t="s">
        <v>1429</v>
      </c>
      <c r="E439" s="17"/>
      <c r="F439" s="6" t="s">
        <v>81</v>
      </c>
      <c r="G439" s="15" t="str" cm="1">
        <f t="array" ref="G439">MultiMatchPrefix(Table_Data[[#This Row],[D ID]],Table_Mappings[Data ID],0,"",TRUE,";
")</f>
        <v/>
      </c>
    </row>
    <row r="440" spans="1:14" x14ac:dyDescent="0.25">
      <c r="A440" s="20" t="s">
        <v>1430</v>
      </c>
      <c r="B440" s="11" t="s">
        <v>643</v>
      </c>
      <c r="C440" s="6" t="s">
        <v>1426</v>
      </c>
      <c r="D440" s="6" t="s">
        <v>1429</v>
      </c>
      <c r="E440" s="6" t="s">
        <v>1431</v>
      </c>
      <c r="F440" s="6" t="s">
        <v>81</v>
      </c>
      <c r="G440" s="15" t="str" cm="1">
        <f t="array" ref="G440">MultiMatchPrefix(Table_Data[[#This Row],[D ID]],Table_Mappings[Data ID],0,"",TRUE,";
")</f>
        <v/>
      </c>
    </row>
    <row r="441" spans="1:14" x14ac:dyDescent="0.25">
      <c r="A441" s="20" t="s">
        <v>1432</v>
      </c>
      <c r="B441" s="11" t="s">
        <v>643</v>
      </c>
      <c r="C441" s="6" t="s">
        <v>1426</v>
      </c>
      <c r="D441" s="6" t="s">
        <v>1429</v>
      </c>
      <c r="E441" s="6" t="s">
        <v>1363</v>
      </c>
      <c r="F441" s="6" t="s">
        <v>81</v>
      </c>
      <c r="G441" s="15" t="str" cm="1">
        <f t="array" ref="G441">MultiMatchPrefix(Table_Data[[#This Row],[D ID]],Table_Mappings[Data ID],0,"",TRUE,";
")</f>
        <v/>
      </c>
    </row>
    <row r="442" spans="1:14" x14ac:dyDescent="0.25">
      <c r="A442" s="20" t="s">
        <v>1433</v>
      </c>
      <c r="B442" s="11" t="s">
        <v>643</v>
      </c>
      <c r="C442" s="6" t="s">
        <v>1426</v>
      </c>
      <c r="D442" s="6" t="s">
        <v>1429</v>
      </c>
      <c r="E442" s="6" t="s">
        <v>1220</v>
      </c>
      <c r="F442" s="6" t="s">
        <v>81</v>
      </c>
      <c r="G442" s="15" t="str" cm="1">
        <f t="array" ref="G442">MultiMatchPrefix(Table_Data[[#This Row],[D ID]],Table_Mappings[Data ID],0,"",TRUE,";
")</f>
        <v/>
      </c>
    </row>
    <row r="443" spans="1:14" x14ac:dyDescent="0.25">
      <c r="A443" s="20" t="s">
        <v>1434</v>
      </c>
      <c r="B443" s="11" t="s">
        <v>640</v>
      </c>
      <c r="C443" s="6" t="s">
        <v>1426</v>
      </c>
      <c r="D443" s="6" t="s">
        <v>1435</v>
      </c>
      <c r="E443" s="17"/>
      <c r="F443" s="6" t="s">
        <v>81</v>
      </c>
      <c r="G443" s="15" t="str" cm="1">
        <f t="array" ref="G443">MultiMatchPrefix(Table_Data[[#This Row],[D ID]],Table_Mappings[Data ID],0,"",TRUE,";
")</f>
        <v/>
      </c>
      <c r="I443" s="19" t="s">
        <v>2632</v>
      </c>
      <c r="J443" s="19" t="s">
        <v>715</v>
      </c>
      <c r="K443" s="19" t="s">
        <v>2670</v>
      </c>
      <c r="L443" s="19" t="s">
        <v>2614</v>
      </c>
      <c r="N443" s="181">
        <v>100</v>
      </c>
    </row>
    <row r="444" spans="1:14" ht="13" x14ac:dyDescent="0.25">
      <c r="A444" s="20" t="s">
        <v>1436</v>
      </c>
      <c r="B444" s="11" t="s">
        <v>643</v>
      </c>
      <c r="C444" s="153" t="s">
        <v>1426</v>
      </c>
      <c r="D444" s="153" t="s">
        <v>1435</v>
      </c>
      <c r="E444" s="153" t="s">
        <v>694</v>
      </c>
      <c r="F444" s="6" t="s">
        <v>692</v>
      </c>
      <c r="G444" s="15" t="str" cm="1">
        <f t="array" ref="G444">MultiMatchPrefix(Table_Data[[#This Row],[D ID]],Table_Mappings[Data ID],0,"",TRUE,";
")</f>
        <v/>
      </c>
      <c r="I444" s="19" t="s">
        <v>2632</v>
      </c>
      <c r="J444" s="19" t="s">
        <v>715</v>
      </c>
      <c r="K444" s="19" t="s">
        <v>715</v>
      </c>
      <c r="L444" s="19" t="s">
        <v>2612</v>
      </c>
      <c r="N444" s="181">
        <v>100</v>
      </c>
    </row>
    <row r="445" spans="1:14" x14ac:dyDescent="0.25">
      <c r="A445" s="20" t="s">
        <v>1437</v>
      </c>
      <c r="B445" s="11" t="s">
        <v>643</v>
      </c>
      <c r="C445" s="6" t="s">
        <v>1426</v>
      </c>
      <c r="D445" s="6" t="s">
        <v>1435</v>
      </c>
      <c r="E445" s="6" t="s">
        <v>684</v>
      </c>
      <c r="F445" s="6" t="s">
        <v>81</v>
      </c>
      <c r="G445" s="15" t="str" cm="1">
        <f t="array" ref="G445">MultiMatchPrefix(Table_Data[[#This Row],[D ID]],Table_Mappings[Data ID],0,"",TRUE,";
")</f>
        <v/>
      </c>
      <c r="N445" s="181">
        <v>100</v>
      </c>
    </row>
    <row r="446" spans="1:14" x14ac:dyDescent="0.25">
      <c r="A446" s="20" t="s">
        <v>1438</v>
      </c>
      <c r="B446" s="11" t="s">
        <v>640</v>
      </c>
      <c r="C446" s="6" t="s">
        <v>1426</v>
      </c>
      <c r="D446" s="6" t="s">
        <v>1439</v>
      </c>
      <c r="E446" s="17"/>
      <c r="F446" s="6" t="s">
        <v>81</v>
      </c>
      <c r="G446" s="15" t="str" cm="1">
        <f t="array" ref="G446">MultiMatchPrefix(Table_Data[[#This Row],[D ID]],Table_Mappings[Data ID],0,"",TRUE,";
")</f>
        <v/>
      </c>
      <c r="I446" s="19" t="s">
        <v>2632</v>
      </c>
      <c r="J446" s="19" t="s">
        <v>715</v>
      </c>
      <c r="K446" s="19" t="s">
        <v>715</v>
      </c>
      <c r="L446" s="19" t="s">
        <v>2612</v>
      </c>
      <c r="N446" s="181">
        <v>100</v>
      </c>
    </row>
    <row r="447" spans="1:14" x14ac:dyDescent="0.25">
      <c r="A447" s="20" t="s">
        <v>1440</v>
      </c>
      <c r="B447" s="11" t="s">
        <v>643</v>
      </c>
      <c r="C447" s="6" t="s">
        <v>1426</v>
      </c>
      <c r="D447" s="6" t="s">
        <v>1439</v>
      </c>
      <c r="E447" s="6" t="s">
        <v>644</v>
      </c>
      <c r="F447" s="6" t="s">
        <v>81</v>
      </c>
      <c r="G447" s="15" t="str" cm="1">
        <f t="array" ref="G447">MultiMatchPrefix(Table_Data[[#This Row],[D ID]],Table_Mappings[Data ID],0,"",TRUE,";
")</f>
        <v/>
      </c>
    </row>
    <row r="448" spans="1:14" x14ac:dyDescent="0.25">
      <c r="A448" s="20" t="s">
        <v>1441</v>
      </c>
      <c r="B448" s="11" t="s">
        <v>643</v>
      </c>
      <c r="C448" s="6" t="s">
        <v>1426</v>
      </c>
      <c r="D448" s="6" t="s">
        <v>1439</v>
      </c>
      <c r="E448" s="6" t="s">
        <v>646</v>
      </c>
      <c r="F448" s="6" t="s">
        <v>81</v>
      </c>
      <c r="G448" s="15" t="str" cm="1">
        <f t="array" ref="G448">MultiMatchPrefix(Table_Data[[#This Row],[D ID]],Table_Mappings[Data ID],0,"",TRUE,";
")</f>
        <v/>
      </c>
    </row>
    <row r="449" spans="1:14" x14ac:dyDescent="0.25">
      <c r="A449" s="20" t="s">
        <v>1442</v>
      </c>
      <c r="B449" s="11" t="s">
        <v>643</v>
      </c>
      <c r="C449" s="6" t="s">
        <v>1426</v>
      </c>
      <c r="D449" s="6" t="s">
        <v>1439</v>
      </c>
      <c r="E449" s="6" t="s">
        <v>1443</v>
      </c>
      <c r="F449" s="6" t="s">
        <v>81</v>
      </c>
      <c r="G449" s="15" t="str" cm="1">
        <f t="array" ref="G449">MultiMatchPrefix(Table_Data[[#This Row],[D ID]],Table_Mappings[Data ID],0,"",TRUE,";
")</f>
        <v/>
      </c>
    </row>
    <row r="450" spans="1:14" x14ac:dyDescent="0.25">
      <c r="A450" s="20" t="s">
        <v>1444</v>
      </c>
      <c r="B450" s="11" t="s">
        <v>643</v>
      </c>
      <c r="C450" s="6" t="s">
        <v>1426</v>
      </c>
      <c r="D450" s="6" t="s">
        <v>1439</v>
      </c>
      <c r="E450" s="6" t="s">
        <v>1445</v>
      </c>
      <c r="F450" s="6" t="s">
        <v>81</v>
      </c>
      <c r="G450" s="15" t="str" cm="1">
        <f t="array" ref="G450">MultiMatchPrefix(Table_Data[[#This Row],[D ID]],Table_Mappings[Data ID],0,"",TRUE,";
")</f>
        <v/>
      </c>
    </row>
    <row r="451" spans="1:14" x14ac:dyDescent="0.25">
      <c r="A451" s="20" t="s">
        <v>477</v>
      </c>
      <c r="B451" s="11" t="s">
        <v>79</v>
      </c>
      <c r="C451" s="6" t="s">
        <v>1446</v>
      </c>
      <c r="D451" s="17"/>
      <c r="E451" s="17"/>
      <c r="F451" s="6" t="s">
        <v>1447</v>
      </c>
      <c r="G451" s="15" t="str" cm="1">
        <f t="array" ref="G451">MultiMatchPrefix(Table_Data[[#This Row],[D ID]],Table_Mappings[Data ID],0,"",TRUE,";
")</f>
        <v>03.08 Outgoing goods or kits</v>
      </c>
    </row>
    <row r="452" spans="1:14" x14ac:dyDescent="0.25">
      <c r="A452" s="20" t="s">
        <v>1448</v>
      </c>
      <c r="B452" s="11" t="s">
        <v>640</v>
      </c>
      <c r="C452" s="6" t="s">
        <v>1446</v>
      </c>
      <c r="D452" s="6" t="s">
        <v>796</v>
      </c>
      <c r="E452" s="17"/>
      <c r="F452" s="6" t="s">
        <v>81</v>
      </c>
      <c r="G452" s="15" t="str" cm="1">
        <f t="array" ref="G452">MultiMatchPrefix(Table_Data[[#This Row],[D ID]],Table_Mappings[Data ID],0,"",TRUE,";
")</f>
        <v/>
      </c>
      <c r="I452" s="19" t="s">
        <v>2632</v>
      </c>
      <c r="J452" s="19" t="s">
        <v>1061</v>
      </c>
      <c r="K452" s="19" t="s">
        <v>2677</v>
      </c>
      <c r="L452" s="19" t="s">
        <v>2681</v>
      </c>
      <c r="N452" s="181" t="s">
        <v>2639</v>
      </c>
    </row>
    <row r="453" spans="1:14" x14ac:dyDescent="0.25">
      <c r="A453" s="20" t="s">
        <v>1449</v>
      </c>
      <c r="B453" s="11" t="s">
        <v>643</v>
      </c>
      <c r="C453" s="6" t="s">
        <v>1446</v>
      </c>
      <c r="D453" s="6" t="s">
        <v>796</v>
      </c>
      <c r="E453" s="6" t="s">
        <v>644</v>
      </c>
      <c r="F453" s="6" t="s">
        <v>81</v>
      </c>
      <c r="G453" s="15" t="str" cm="1">
        <f t="array" ref="G453">MultiMatchPrefix(Table_Data[[#This Row],[D ID]],Table_Mappings[Data ID],0,"",TRUE,";
")</f>
        <v/>
      </c>
      <c r="I453" s="19" t="s">
        <v>2632</v>
      </c>
      <c r="J453" s="19" t="s">
        <v>1061</v>
      </c>
      <c r="K453" s="19" t="s">
        <v>2678</v>
      </c>
      <c r="L453" s="19" t="s">
        <v>2682</v>
      </c>
      <c r="N453" s="181" t="s">
        <v>2639</v>
      </c>
    </row>
    <row r="454" spans="1:14" x14ac:dyDescent="0.25">
      <c r="A454" s="20" t="s">
        <v>1450</v>
      </c>
      <c r="B454" s="11" t="s">
        <v>643</v>
      </c>
      <c r="C454" s="6" t="s">
        <v>1446</v>
      </c>
      <c r="D454" s="6" t="s">
        <v>796</v>
      </c>
      <c r="E454" s="6" t="s">
        <v>646</v>
      </c>
      <c r="F454" s="6" t="s">
        <v>81</v>
      </c>
      <c r="G454" s="15" t="str" cm="1">
        <f t="array" ref="G454">MultiMatchPrefix(Table_Data[[#This Row],[D ID]],Table_Mappings[Data ID],0,"",TRUE,";
")</f>
        <v/>
      </c>
      <c r="I454" s="19" t="s">
        <v>2632</v>
      </c>
      <c r="J454" s="19" t="s">
        <v>1061</v>
      </c>
      <c r="K454" s="19" t="s">
        <v>635</v>
      </c>
      <c r="L454" s="19" t="s">
        <v>2655</v>
      </c>
      <c r="N454" s="181" t="s">
        <v>2639</v>
      </c>
    </row>
    <row r="455" spans="1:14" x14ac:dyDescent="0.25">
      <c r="A455" s="20" t="s">
        <v>1451</v>
      </c>
      <c r="B455" s="11" t="s">
        <v>640</v>
      </c>
      <c r="C455" s="6" t="s">
        <v>1446</v>
      </c>
      <c r="D455" s="6" t="s">
        <v>1452</v>
      </c>
      <c r="E455" s="17"/>
      <c r="F455" s="6" t="s">
        <v>81</v>
      </c>
      <c r="G455" s="15" t="str" cm="1">
        <f t="array" ref="G455">MultiMatchPrefix(Table_Data[[#This Row],[D ID]],Table_Mappings[Data ID],0,"",TRUE,";
")</f>
        <v/>
      </c>
      <c r="J455" s="19" t="s">
        <v>1061</v>
      </c>
    </row>
    <row r="456" spans="1:14" x14ac:dyDescent="0.25">
      <c r="A456" s="20" t="s">
        <v>1453</v>
      </c>
      <c r="B456" s="11" t="s">
        <v>643</v>
      </c>
      <c r="C456" s="6" t="s">
        <v>1446</v>
      </c>
      <c r="D456" s="6" t="s">
        <v>1452</v>
      </c>
      <c r="E456" s="6" t="s">
        <v>1259</v>
      </c>
      <c r="F456" s="6" t="s">
        <v>81</v>
      </c>
      <c r="G456" s="15" t="str" cm="1">
        <f t="array" ref="G456">MultiMatchPrefix(Table_Data[[#This Row],[D ID]],Table_Mappings[Data ID],0,"",TRUE,";
")</f>
        <v/>
      </c>
      <c r="J456" s="19" t="s">
        <v>1061</v>
      </c>
    </row>
    <row r="457" spans="1:14" ht="25" x14ac:dyDescent="0.25">
      <c r="A457" s="20" t="s">
        <v>457</v>
      </c>
      <c r="B457" s="11" t="s">
        <v>79</v>
      </c>
      <c r="C457" s="6" t="s">
        <v>1454</v>
      </c>
      <c r="D457" s="17"/>
      <c r="E457" s="17"/>
      <c r="F457" s="6" t="s">
        <v>1455</v>
      </c>
      <c r="G457" s="15" t="str" cm="1">
        <f t="array" ref="G457">MultiMatchPrefix(Table_Data[[#This Row],[D ID]],Table_Mappings[Data ID],0,"",TRUE,";
")</f>
        <v>03.04 Reconditionning ;
03.08 Outgoing goods or kits</v>
      </c>
    </row>
    <row r="458" spans="1:14" x14ac:dyDescent="0.25">
      <c r="A458" s="20" t="s">
        <v>1456</v>
      </c>
      <c r="B458" s="11" t="s">
        <v>640</v>
      </c>
      <c r="C458" s="6" t="s">
        <v>1454</v>
      </c>
      <c r="D458" s="6" t="s">
        <v>1457</v>
      </c>
      <c r="E458" s="17"/>
      <c r="F458" s="6" t="s">
        <v>81</v>
      </c>
      <c r="G458" s="15" t="str" cm="1">
        <f t="array" ref="G458">MultiMatchPrefix(Table_Data[[#This Row],[D ID]],Table_Mappings[Data ID],0,"",TRUE,";
")</f>
        <v/>
      </c>
    </row>
    <row r="459" spans="1:14" x14ac:dyDescent="0.25">
      <c r="A459" s="20" t="s">
        <v>1458</v>
      </c>
      <c r="B459" s="11" t="s">
        <v>643</v>
      </c>
      <c r="C459" s="6" t="s">
        <v>1454</v>
      </c>
      <c r="D459" s="6" t="s">
        <v>1457</v>
      </c>
      <c r="E459" s="6" t="s">
        <v>1459</v>
      </c>
      <c r="F459" s="6" t="s">
        <v>81</v>
      </c>
      <c r="G459" s="15" t="str" cm="1">
        <f t="array" ref="G459">MultiMatchPrefix(Table_Data[[#This Row],[D ID]],Table_Mappings[Data ID],0,"",TRUE,";
")</f>
        <v/>
      </c>
    </row>
    <row r="460" spans="1:14" x14ac:dyDescent="0.25">
      <c r="A460" s="20" t="s">
        <v>1460</v>
      </c>
      <c r="B460" s="11" t="s">
        <v>643</v>
      </c>
      <c r="C460" s="6" t="s">
        <v>1454</v>
      </c>
      <c r="D460" s="6" t="s">
        <v>1457</v>
      </c>
      <c r="E460" s="6" t="s">
        <v>1363</v>
      </c>
      <c r="F460" s="6" t="s">
        <v>81</v>
      </c>
      <c r="G460" s="15" t="str" cm="1">
        <f t="array" ref="G460">MultiMatchPrefix(Table_Data[[#This Row],[D ID]],Table_Mappings[Data ID],0,"",TRUE,";
")</f>
        <v/>
      </c>
    </row>
    <row r="461" spans="1:14" x14ac:dyDescent="0.25">
      <c r="A461" s="20" t="s">
        <v>1461</v>
      </c>
      <c r="B461" s="11" t="s">
        <v>643</v>
      </c>
      <c r="C461" s="6" t="s">
        <v>1454</v>
      </c>
      <c r="D461" s="6" t="s">
        <v>1457</v>
      </c>
      <c r="E461" s="6" t="s">
        <v>684</v>
      </c>
      <c r="F461" s="6" t="s">
        <v>81</v>
      </c>
      <c r="G461" s="15" t="str" cm="1">
        <f t="array" ref="G461">MultiMatchPrefix(Table_Data[[#This Row],[D ID]],Table_Mappings[Data ID],0,"",TRUE,";
")</f>
        <v/>
      </c>
    </row>
    <row r="462" spans="1:14" x14ac:dyDescent="0.25">
      <c r="A462" s="20" t="s">
        <v>1462</v>
      </c>
      <c r="B462" s="11" t="s">
        <v>640</v>
      </c>
      <c r="C462" s="6" t="s">
        <v>1454</v>
      </c>
      <c r="D462" s="6" t="s">
        <v>932</v>
      </c>
      <c r="E462" s="17"/>
      <c r="F462" s="6" t="s">
        <v>81</v>
      </c>
      <c r="G462" s="15" t="str" cm="1">
        <f t="array" ref="G462">MultiMatchPrefix(Table_Data[[#This Row],[D ID]],Table_Mappings[Data ID],0,"",TRUE,";
")</f>
        <v/>
      </c>
      <c r="I462" s="19" t="s">
        <v>2632</v>
      </c>
      <c r="K462" s="19" t="s">
        <v>715</v>
      </c>
      <c r="L462" s="19" t="s">
        <v>2612</v>
      </c>
      <c r="N462" s="181">
        <v>100</v>
      </c>
    </row>
    <row r="463" spans="1:14" ht="13" x14ac:dyDescent="0.25">
      <c r="A463" s="20" t="s">
        <v>1463</v>
      </c>
      <c r="B463" s="11" t="s">
        <v>643</v>
      </c>
      <c r="C463" s="153" t="s">
        <v>1454</v>
      </c>
      <c r="D463" s="153" t="s">
        <v>932</v>
      </c>
      <c r="E463" s="153" t="s">
        <v>694</v>
      </c>
      <c r="F463" s="6" t="s">
        <v>692</v>
      </c>
      <c r="G463" s="15" t="str" cm="1">
        <f t="array" ref="G463">MultiMatchPrefix(Table_Data[[#This Row],[D ID]],Table_Mappings[Data ID],0,"",TRUE,";
")</f>
        <v/>
      </c>
      <c r="I463" s="19" t="s">
        <v>2632</v>
      </c>
      <c r="M463" s="19" t="s">
        <v>2673</v>
      </c>
      <c r="N463" s="181">
        <v>100</v>
      </c>
    </row>
    <row r="464" spans="1:14" x14ac:dyDescent="0.25">
      <c r="A464" s="20" t="s">
        <v>1464</v>
      </c>
      <c r="B464" s="11" t="s">
        <v>640</v>
      </c>
      <c r="C464" s="6" t="s">
        <v>1454</v>
      </c>
      <c r="D464" s="6" t="s">
        <v>733</v>
      </c>
      <c r="E464" s="17"/>
      <c r="F464" s="6" t="s">
        <v>81</v>
      </c>
      <c r="G464" s="15" t="str" cm="1">
        <f t="array" ref="G464">MultiMatchPrefix(Table_Data[[#This Row],[D ID]],Table_Mappings[Data ID],0,"",TRUE,";
")</f>
        <v/>
      </c>
      <c r="I464" s="19" t="s">
        <v>2632</v>
      </c>
      <c r="K464" s="19" t="s">
        <v>715</v>
      </c>
      <c r="L464" s="19" t="s">
        <v>2612</v>
      </c>
      <c r="N464" s="181">
        <v>100</v>
      </c>
    </row>
    <row r="465" spans="1:14" ht="13" x14ac:dyDescent="0.25">
      <c r="A465" s="20" t="s">
        <v>1465</v>
      </c>
      <c r="B465" s="11" t="s">
        <v>643</v>
      </c>
      <c r="C465" s="153" t="s">
        <v>1454</v>
      </c>
      <c r="D465" s="153" t="s">
        <v>733</v>
      </c>
      <c r="E465" s="153" t="s">
        <v>694</v>
      </c>
      <c r="F465" s="6" t="s">
        <v>692</v>
      </c>
      <c r="G465" s="15" t="str" cm="1">
        <f t="array" ref="G465">MultiMatchPrefix(Table_Data[[#This Row],[D ID]],Table_Mappings[Data ID],0,"",TRUE,";
")</f>
        <v/>
      </c>
      <c r="I465" s="19" t="s">
        <v>2632</v>
      </c>
      <c r="M465" s="19" t="s">
        <v>2673</v>
      </c>
      <c r="N465" s="181">
        <v>100</v>
      </c>
    </row>
    <row r="466" spans="1:14" x14ac:dyDescent="0.25">
      <c r="A466" s="20" t="s">
        <v>1466</v>
      </c>
      <c r="B466" s="11" t="s">
        <v>640</v>
      </c>
      <c r="C466" s="6" t="s">
        <v>1454</v>
      </c>
      <c r="D466" s="6" t="s">
        <v>1467</v>
      </c>
      <c r="E466" s="17"/>
      <c r="F466" s="6" t="s">
        <v>81</v>
      </c>
      <c r="G466" s="15" t="str" cm="1">
        <f t="array" ref="G466">MultiMatchPrefix(Table_Data[[#This Row],[D ID]],Table_Mappings[Data ID],0,"",TRUE,";
")</f>
        <v/>
      </c>
    </row>
    <row r="467" spans="1:14" x14ac:dyDescent="0.25">
      <c r="A467" s="20" t="s">
        <v>1468</v>
      </c>
      <c r="B467" s="11" t="s">
        <v>643</v>
      </c>
      <c r="C467" s="6" t="s">
        <v>1454</v>
      </c>
      <c r="D467" s="6" t="s">
        <v>1467</v>
      </c>
      <c r="E467" s="6" t="s">
        <v>644</v>
      </c>
      <c r="F467" s="6" t="s">
        <v>81</v>
      </c>
      <c r="G467" s="15" t="str" cm="1">
        <f t="array" ref="G467">MultiMatchPrefix(Table_Data[[#This Row],[D ID]],Table_Mappings[Data ID],0,"",TRUE,";
")</f>
        <v/>
      </c>
    </row>
    <row r="468" spans="1:14" x14ac:dyDescent="0.25">
      <c r="A468" s="20" t="s">
        <v>1469</v>
      </c>
      <c r="B468" s="11" t="s">
        <v>643</v>
      </c>
      <c r="C468" s="6" t="s">
        <v>1454</v>
      </c>
      <c r="D468" s="6" t="s">
        <v>1467</v>
      </c>
      <c r="E468" s="6" t="s">
        <v>646</v>
      </c>
      <c r="F468" s="6" t="s">
        <v>81</v>
      </c>
      <c r="G468" s="15" t="str" cm="1">
        <f t="array" ref="G468">MultiMatchPrefix(Table_Data[[#This Row],[D ID]],Table_Mappings[Data ID],0,"",TRUE,";
")</f>
        <v/>
      </c>
    </row>
    <row r="469" spans="1:14" x14ac:dyDescent="0.25">
      <c r="A469" s="20" t="s">
        <v>1470</v>
      </c>
      <c r="B469" s="11" t="s">
        <v>643</v>
      </c>
      <c r="C469" s="6" t="s">
        <v>1454</v>
      </c>
      <c r="D469" s="6" t="s">
        <v>1467</v>
      </c>
      <c r="E469" s="6" t="s">
        <v>650</v>
      </c>
      <c r="F469" s="6" t="s">
        <v>81</v>
      </c>
      <c r="G469" s="15" t="str" cm="1">
        <f t="array" ref="G469">MultiMatchPrefix(Table_Data[[#This Row],[D ID]],Table_Mappings[Data ID],0,"",TRUE,";
")</f>
        <v/>
      </c>
    </row>
    <row r="470" spans="1:14" ht="25" x14ac:dyDescent="0.25">
      <c r="A470" s="20" t="s">
        <v>480</v>
      </c>
      <c r="B470" s="11" t="s">
        <v>79</v>
      </c>
      <c r="C470" s="6" t="s">
        <v>1471</v>
      </c>
      <c r="D470" s="17"/>
      <c r="E470" s="17"/>
      <c r="F470" s="6" t="s">
        <v>1472</v>
      </c>
      <c r="G470" s="15" t="str" cm="1">
        <f t="array" ref="G470">MultiMatchPrefix(Table_Data[[#This Row],[D ID]],Table_Mappings[Data ID],0,"",TRUE,";
")</f>
        <v>03.08 Outgoing goods or kits</v>
      </c>
    </row>
    <row r="471" spans="1:14" x14ac:dyDescent="0.25">
      <c r="A471" s="20" t="s">
        <v>1473</v>
      </c>
      <c r="B471" s="11" t="s">
        <v>640</v>
      </c>
      <c r="C471" s="6" t="s">
        <v>1471</v>
      </c>
      <c r="D471" s="6" t="s">
        <v>1474</v>
      </c>
      <c r="E471" s="17"/>
      <c r="F471" s="6" t="s">
        <v>81</v>
      </c>
      <c r="G471" s="15" t="str" cm="1">
        <f t="array" ref="G471">MultiMatchPrefix(Table_Data[[#This Row],[D ID]],Table_Mappings[Data ID],0,"",TRUE,";
")</f>
        <v/>
      </c>
    </row>
    <row r="472" spans="1:14" x14ac:dyDescent="0.25">
      <c r="A472" s="20" t="s">
        <v>1475</v>
      </c>
      <c r="B472" s="11" t="s">
        <v>643</v>
      </c>
      <c r="C472" s="6" t="s">
        <v>1471</v>
      </c>
      <c r="D472" s="6" t="s">
        <v>1474</v>
      </c>
      <c r="E472" s="6" t="s">
        <v>1476</v>
      </c>
      <c r="F472" s="6" t="s">
        <v>81</v>
      </c>
      <c r="G472" s="15" t="str" cm="1">
        <f t="array" ref="G472">MultiMatchPrefix(Table_Data[[#This Row],[D ID]],Table_Mappings[Data ID],0,"",TRUE,";
")</f>
        <v/>
      </c>
    </row>
    <row r="473" spans="1:14" x14ac:dyDescent="0.25">
      <c r="A473" s="20" t="s">
        <v>1477</v>
      </c>
      <c r="B473" s="11" t="s">
        <v>643</v>
      </c>
      <c r="C473" s="6" t="s">
        <v>1471</v>
      </c>
      <c r="D473" s="6" t="s">
        <v>1474</v>
      </c>
      <c r="E473" s="6" t="s">
        <v>1478</v>
      </c>
      <c r="F473" s="6" t="s">
        <v>81</v>
      </c>
      <c r="G473" s="15" t="str" cm="1">
        <f t="array" ref="G473">MultiMatchPrefix(Table_Data[[#This Row],[D ID]],Table_Mappings[Data ID],0,"",TRUE,";
")</f>
        <v/>
      </c>
    </row>
    <row r="474" spans="1:14" x14ac:dyDescent="0.25">
      <c r="A474" s="20" t="s">
        <v>1479</v>
      </c>
      <c r="B474" s="11" t="s">
        <v>643</v>
      </c>
      <c r="C474" s="6" t="s">
        <v>1471</v>
      </c>
      <c r="D474" s="6" t="s">
        <v>1474</v>
      </c>
      <c r="E474" s="6" t="s">
        <v>1480</v>
      </c>
      <c r="F474" s="6" t="s">
        <v>81</v>
      </c>
      <c r="G474" s="15" t="str" cm="1">
        <f t="array" ref="G474">MultiMatchPrefix(Table_Data[[#This Row],[D ID]],Table_Mappings[Data ID],0,"",TRUE,";
")</f>
        <v/>
      </c>
    </row>
    <row r="475" spans="1:14" x14ac:dyDescent="0.25">
      <c r="A475" s="20" t="s">
        <v>1481</v>
      </c>
      <c r="B475" s="11" t="s">
        <v>643</v>
      </c>
      <c r="C475" s="6" t="s">
        <v>1471</v>
      </c>
      <c r="D475" s="6" t="s">
        <v>1474</v>
      </c>
      <c r="E475" s="6" t="s">
        <v>1376</v>
      </c>
      <c r="F475" s="6" t="s">
        <v>81</v>
      </c>
      <c r="G475" s="15" t="str" cm="1">
        <f t="array" ref="G475">MultiMatchPrefix(Table_Data[[#This Row],[D ID]],Table_Mappings[Data ID],0,"",TRUE,";
")</f>
        <v/>
      </c>
    </row>
    <row r="476" spans="1:14" x14ac:dyDescent="0.25">
      <c r="A476" s="20" t="s">
        <v>1482</v>
      </c>
      <c r="B476" s="11" t="s">
        <v>640</v>
      </c>
      <c r="C476" s="6" t="s">
        <v>1471</v>
      </c>
      <c r="D476" s="6" t="s">
        <v>733</v>
      </c>
      <c r="E476" s="17"/>
      <c r="F476" s="6" t="s">
        <v>81</v>
      </c>
      <c r="G476" s="15" t="str" cm="1">
        <f t="array" ref="G476">MultiMatchPrefix(Table_Data[[#This Row],[D ID]],Table_Mappings[Data ID],0,"",TRUE,";
")</f>
        <v/>
      </c>
      <c r="I476" s="19" t="s">
        <v>2632</v>
      </c>
      <c r="J476" s="19" t="s">
        <v>715</v>
      </c>
      <c r="K476" s="19" t="s">
        <v>715</v>
      </c>
      <c r="L476" s="19" t="s">
        <v>2612</v>
      </c>
      <c r="N476" s="181">
        <v>100</v>
      </c>
    </row>
    <row r="477" spans="1:14" ht="13" x14ac:dyDescent="0.25">
      <c r="A477" s="20" t="s">
        <v>1483</v>
      </c>
      <c r="B477" s="11" t="s">
        <v>643</v>
      </c>
      <c r="C477" s="153" t="s">
        <v>1471</v>
      </c>
      <c r="D477" s="153" t="s">
        <v>733</v>
      </c>
      <c r="E477" s="153" t="s">
        <v>694</v>
      </c>
      <c r="F477" s="6" t="s">
        <v>692</v>
      </c>
      <c r="G477" s="15" t="str" cm="1">
        <f t="array" ref="G477">MultiMatchPrefix(Table_Data[[#This Row],[D ID]],Table_Mappings[Data ID],0,"",TRUE,";
")</f>
        <v/>
      </c>
      <c r="I477" s="19" t="s">
        <v>2632</v>
      </c>
      <c r="J477" s="19" t="s">
        <v>715</v>
      </c>
      <c r="M477" s="19" t="s">
        <v>2673</v>
      </c>
      <c r="N477" s="181">
        <v>100</v>
      </c>
    </row>
    <row r="478" spans="1:14" x14ac:dyDescent="0.25">
      <c r="A478" s="20" t="s">
        <v>1484</v>
      </c>
      <c r="B478" s="11" t="s">
        <v>640</v>
      </c>
      <c r="C478" s="6" t="s">
        <v>1471</v>
      </c>
      <c r="D478" s="6" t="s">
        <v>932</v>
      </c>
      <c r="E478" s="17"/>
      <c r="F478" s="6" t="s">
        <v>81</v>
      </c>
      <c r="G478" s="15" t="str" cm="1">
        <f t="array" ref="G478">MultiMatchPrefix(Table_Data[[#This Row],[D ID]],Table_Mappings[Data ID],0,"",TRUE,";
")</f>
        <v/>
      </c>
      <c r="I478" s="19" t="s">
        <v>2632</v>
      </c>
      <c r="J478" s="19" t="s">
        <v>715</v>
      </c>
      <c r="K478" s="19" t="s">
        <v>715</v>
      </c>
      <c r="L478" s="19" t="s">
        <v>2612</v>
      </c>
      <c r="N478" s="181">
        <v>100</v>
      </c>
    </row>
    <row r="479" spans="1:14" ht="13" x14ac:dyDescent="0.25">
      <c r="A479" s="20" t="s">
        <v>1485</v>
      </c>
      <c r="B479" s="11" t="s">
        <v>643</v>
      </c>
      <c r="C479" s="153" t="s">
        <v>1471</v>
      </c>
      <c r="D479" s="153" t="s">
        <v>932</v>
      </c>
      <c r="E479" s="153" t="s">
        <v>694</v>
      </c>
      <c r="F479" s="6" t="s">
        <v>692</v>
      </c>
      <c r="G479" s="15" t="str" cm="1">
        <f t="array" ref="G479">MultiMatchPrefix(Table_Data[[#This Row],[D ID]],Table_Mappings[Data ID],0,"",TRUE,";
")</f>
        <v/>
      </c>
      <c r="I479" s="19" t="s">
        <v>2632</v>
      </c>
      <c r="J479" s="19" t="s">
        <v>715</v>
      </c>
      <c r="M479" s="19" t="s">
        <v>2673</v>
      </c>
      <c r="N479" s="181">
        <v>100</v>
      </c>
    </row>
    <row r="480" spans="1:14" x14ac:dyDescent="0.25">
      <c r="A480" s="20" t="s">
        <v>1486</v>
      </c>
      <c r="B480" s="11" t="s">
        <v>640</v>
      </c>
      <c r="C480" s="6" t="s">
        <v>1471</v>
      </c>
      <c r="D480" s="6" t="s">
        <v>980</v>
      </c>
      <c r="E480" s="17"/>
      <c r="F480" s="6" t="s">
        <v>1487</v>
      </c>
      <c r="G480" s="15" t="str" cm="1">
        <f t="array" ref="G480">MultiMatchPrefix(Table_Data[[#This Row],[D ID]],Table_Mappings[Data ID],0,"",TRUE,";
")</f>
        <v/>
      </c>
      <c r="I480" s="19" t="s">
        <v>2632</v>
      </c>
      <c r="J480" s="19" t="s">
        <v>715</v>
      </c>
      <c r="K480" s="19" t="s">
        <v>715</v>
      </c>
      <c r="L480" s="19" t="s">
        <v>2612</v>
      </c>
      <c r="N480" s="181">
        <v>100</v>
      </c>
    </row>
    <row r="481" spans="1:14" ht="13" x14ac:dyDescent="0.25">
      <c r="A481" s="20" t="s">
        <v>1488</v>
      </c>
      <c r="B481" s="11" t="s">
        <v>643</v>
      </c>
      <c r="C481" s="153" t="s">
        <v>1471</v>
      </c>
      <c r="D481" s="153" t="s">
        <v>980</v>
      </c>
      <c r="E481" s="153" t="s">
        <v>694</v>
      </c>
      <c r="F481" s="6" t="s">
        <v>692</v>
      </c>
      <c r="G481" s="15" t="str" cm="1">
        <f t="array" ref="G481">MultiMatchPrefix(Table_Data[[#This Row],[D ID]],Table_Mappings[Data ID],0,"",TRUE,";
")</f>
        <v/>
      </c>
      <c r="I481" s="19" t="s">
        <v>2632</v>
      </c>
      <c r="J481" s="19" t="s">
        <v>715</v>
      </c>
      <c r="M481" s="19" t="s">
        <v>2673</v>
      </c>
      <c r="N481" s="181">
        <v>100</v>
      </c>
    </row>
    <row r="482" spans="1:14" ht="25" x14ac:dyDescent="0.25">
      <c r="A482" s="20" t="s">
        <v>1489</v>
      </c>
      <c r="B482" s="11" t="s">
        <v>640</v>
      </c>
      <c r="C482" s="6" t="s">
        <v>1471</v>
      </c>
      <c r="D482" s="6" t="s">
        <v>1490</v>
      </c>
      <c r="E482" s="17"/>
      <c r="F482" s="6" t="s">
        <v>1491</v>
      </c>
      <c r="G482" s="15" t="str" cm="1">
        <f t="array" ref="G482">MultiMatchPrefix(Table_Data[[#This Row],[D ID]],Table_Mappings[Data ID],0,"",TRUE,";
")</f>
        <v/>
      </c>
    </row>
    <row r="483" spans="1:14" x14ac:dyDescent="0.25">
      <c r="A483" s="20" t="s">
        <v>1492</v>
      </c>
      <c r="B483" s="11" t="s">
        <v>643</v>
      </c>
      <c r="C483" s="6" t="s">
        <v>1471</v>
      </c>
      <c r="D483" s="6" t="s">
        <v>1490</v>
      </c>
      <c r="E483" s="6" t="s">
        <v>1493</v>
      </c>
      <c r="F483" s="6" t="s">
        <v>81</v>
      </c>
      <c r="G483" s="15" t="str" cm="1">
        <f t="array" ref="G483">MultiMatchPrefix(Table_Data[[#This Row],[D ID]],Table_Mappings[Data ID],0,"",TRUE,";
")</f>
        <v/>
      </c>
    </row>
    <row r="484" spans="1:14" x14ac:dyDescent="0.25">
      <c r="A484" s="20" t="s">
        <v>1494</v>
      </c>
      <c r="B484" s="11" t="s">
        <v>643</v>
      </c>
      <c r="C484" s="6" t="s">
        <v>1471</v>
      </c>
      <c r="D484" s="6" t="s">
        <v>1490</v>
      </c>
      <c r="E484" s="6" t="s">
        <v>1495</v>
      </c>
      <c r="F484" s="6" t="s">
        <v>81</v>
      </c>
      <c r="G484" s="15" t="str" cm="1">
        <f t="array" ref="G484">MultiMatchPrefix(Table_Data[[#This Row],[D ID]],Table_Mappings[Data ID],0,"",TRUE,";
")</f>
        <v/>
      </c>
    </row>
    <row r="485" spans="1:14" x14ac:dyDescent="0.25">
      <c r="A485" s="20" t="s">
        <v>1496</v>
      </c>
      <c r="B485" s="11" t="s">
        <v>643</v>
      </c>
      <c r="C485" s="6" t="s">
        <v>1471</v>
      </c>
      <c r="D485" s="6" t="s">
        <v>1490</v>
      </c>
      <c r="E485" s="6" t="s">
        <v>1497</v>
      </c>
      <c r="F485" s="6" t="s">
        <v>81</v>
      </c>
      <c r="G485" s="15" t="str" cm="1">
        <f t="array" ref="G485">MultiMatchPrefix(Table_Data[[#This Row],[D ID]],Table_Mappings[Data ID],0,"",TRUE,";
")</f>
        <v/>
      </c>
    </row>
    <row r="486" spans="1:14" x14ac:dyDescent="0.25">
      <c r="A486" s="20" t="s">
        <v>1498</v>
      </c>
      <c r="B486" s="11" t="s">
        <v>643</v>
      </c>
      <c r="C486" s="6" t="s">
        <v>1471</v>
      </c>
      <c r="D486" s="6" t="s">
        <v>1490</v>
      </c>
      <c r="E486" s="6" t="s">
        <v>1499</v>
      </c>
      <c r="F486" s="6" t="s">
        <v>81</v>
      </c>
      <c r="G486" s="15" t="str" cm="1">
        <f t="array" ref="G486">MultiMatchPrefix(Table_Data[[#This Row],[D ID]],Table_Mappings[Data ID],0,"",TRUE,";
")</f>
        <v/>
      </c>
    </row>
    <row r="487" spans="1:14" x14ac:dyDescent="0.25">
      <c r="A487" s="20" t="s">
        <v>1500</v>
      </c>
      <c r="B487" s="11" t="s">
        <v>643</v>
      </c>
      <c r="C487" s="6" t="s">
        <v>1471</v>
      </c>
      <c r="D487" s="6" t="s">
        <v>1490</v>
      </c>
      <c r="E487" s="6" t="s">
        <v>1501</v>
      </c>
      <c r="F487" s="6" t="s">
        <v>81</v>
      </c>
      <c r="G487" s="15" t="str" cm="1">
        <f t="array" ref="G487">MultiMatchPrefix(Table_Data[[#This Row],[D ID]],Table_Mappings[Data ID],0,"",TRUE,";
")</f>
        <v/>
      </c>
    </row>
    <row r="488" spans="1:14" x14ac:dyDescent="0.25">
      <c r="A488" s="20" t="s">
        <v>1502</v>
      </c>
      <c r="B488" s="11" t="s">
        <v>643</v>
      </c>
      <c r="C488" s="6" t="s">
        <v>1471</v>
      </c>
      <c r="D488" s="6" t="s">
        <v>1490</v>
      </c>
      <c r="E488" s="6" t="s">
        <v>1503</v>
      </c>
      <c r="F488" s="6" t="s">
        <v>81</v>
      </c>
      <c r="G488" s="15" t="str" cm="1">
        <f t="array" ref="G488">MultiMatchPrefix(Table_Data[[#This Row],[D ID]],Table_Mappings[Data ID],0,"",TRUE,";
")</f>
        <v/>
      </c>
    </row>
    <row r="489" spans="1:14" x14ac:dyDescent="0.25">
      <c r="A489" s="20" t="s">
        <v>1504</v>
      </c>
      <c r="B489" s="11" t="s">
        <v>643</v>
      </c>
      <c r="C489" s="6" t="s">
        <v>1471</v>
      </c>
      <c r="D489" s="6" t="s">
        <v>1490</v>
      </c>
      <c r="E489" s="6" t="s">
        <v>1505</v>
      </c>
      <c r="F489" s="6" t="s">
        <v>81</v>
      </c>
      <c r="G489" s="15" t="str" cm="1">
        <f t="array" ref="G489">MultiMatchPrefix(Table_Data[[#This Row],[D ID]],Table_Mappings[Data ID],0,"",TRUE,";
")</f>
        <v/>
      </c>
    </row>
    <row r="490" spans="1:14" x14ac:dyDescent="0.25">
      <c r="A490" s="20" t="s">
        <v>1506</v>
      </c>
      <c r="B490" s="11" t="s">
        <v>640</v>
      </c>
      <c r="C490" s="6" t="s">
        <v>1471</v>
      </c>
      <c r="D490" s="6" t="s">
        <v>1507</v>
      </c>
      <c r="E490" s="17"/>
      <c r="F490" s="6" t="s">
        <v>81</v>
      </c>
      <c r="G490" s="15" t="str" cm="1">
        <f t="array" ref="G490">MultiMatchPrefix(Table_Data[[#This Row],[D ID]],Table_Mappings[Data ID],0,"",TRUE,";
")</f>
        <v/>
      </c>
    </row>
    <row r="491" spans="1:14" x14ac:dyDescent="0.25">
      <c r="A491" s="20" t="s">
        <v>1508</v>
      </c>
      <c r="B491" s="11" t="s">
        <v>643</v>
      </c>
      <c r="C491" s="6" t="s">
        <v>1471</v>
      </c>
      <c r="D491" s="6" t="s">
        <v>1507</v>
      </c>
      <c r="E491" s="6" t="s">
        <v>1509</v>
      </c>
      <c r="F491" s="6" t="s">
        <v>1510</v>
      </c>
      <c r="G491" s="15" t="str" cm="1">
        <f t="array" ref="G491">MultiMatchPrefix(Table_Data[[#This Row],[D ID]],Table_Mappings[Data ID],0,"",TRUE,";
")</f>
        <v/>
      </c>
    </row>
    <row r="492" spans="1:14" x14ac:dyDescent="0.25">
      <c r="A492" s="20" t="s">
        <v>1511</v>
      </c>
      <c r="B492" s="11" t="s">
        <v>643</v>
      </c>
      <c r="C492" s="6" t="s">
        <v>1471</v>
      </c>
      <c r="D492" s="6" t="s">
        <v>1507</v>
      </c>
      <c r="E492" s="6" t="s">
        <v>1512</v>
      </c>
      <c r="F492" s="6" t="s">
        <v>1513</v>
      </c>
      <c r="G492" s="15" t="str" cm="1">
        <f t="array" ref="G492">MultiMatchPrefix(Table_Data[[#This Row],[D ID]],Table_Mappings[Data ID],0,"",TRUE,";
")</f>
        <v/>
      </c>
    </row>
    <row r="493" spans="1:14" ht="25" x14ac:dyDescent="0.25">
      <c r="A493" s="20" t="s">
        <v>1514</v>
      </c>
      <c r="B493" s="11" t="s">
        <v>643</v>
      </c>
      <c r="C493" s="6" t="s">
        <v>1471</v>
      </c>
      <c r="D493" s="6" t="s">
        <v>1507</v>
      </c>
      <c r="E493" s="6" t="s">
        <v>1515</v>
      </c>
      <c r="F493" s="6" t="s">
        <v>1516</v>
      </c>
      <c r="G493" s="15" t="str" cm="1">
        <f t="array" ref="G493">MultiMatchPrefix(Table_Data[[#This Row],[D ID]],Table_Mappings[Data ID],0,"",TRUE,";
")</f>
        <v/>
      </c>
    </row>
    <row r="494" spans="1:14" x14ac:dyDescent="0.25">
      <c r="A494" s="20" t="s">
        <v>1517</v>
      </c>
      <c r="B494" s="11" t="s">
        <v>643</v>
      </c>
      <c r="C494" s="6" t="s">
        <v>1471</v>
      </c>
      <c r="D494" s="6" t="s">
        <v>1507</v>
      </c>
      <c r="E494" s="6" t="s">
        <v>1518</v>
      </c>
      <c r="F494" s="6" t="s">
        <v>1519</v>
      </c>
      <c r="G494" s="15" t="str" cm="1">
        <f t="array" ref="G494">MultiMatchPrefix(Table_Data[[#This Row],[D ID]],Table_Mappings[Data ID],0,"",TRUE,";
")</f>
        <v/>
      </c>
    </row>
    <row r="495" spans="1:14" x14ac:dyDescent="0.25">
      <c r="A495" s="20" t="s">
        <v>1520</v>
      </c>
      <c r="B495" s="11" t="s">
        <v>643</v>
      </c>
      <c r="C495" s="6" t="s">
        <v>1471</v>
      </c>
      <c r="D495" s="6" t="s">
        <v>1507</v>
      </c>
      <c r="E495" s="6" t="s">
        <v>1497</v>
      </c>
      <c r="F495" s="6" t="s">
        <v>81</v>
      </c>
      <c r="G495" s="15" t="str" cm="1">
        <f t="array" ref="G495">MultiMatchPrefix(Table_Data[[#This Row],[D ID]],Table_Mappings[Data ID],0,"",TRUE,";
")</f>
        <v/>
      </c>
    </row>
    <row r="496" spans="1:14" x14ac:dyDescent="0.25">
      <c r="A496" s="20" t="s">
        <v>1521</v>
      </c>
      <c r="B496" s="11" t="s">
        <v>643</v>
      </c>
      <c r="C496" s="6" t="s">
        <v>1471</v>
      </c>
      <c r="D496" s="6" t="s">
        <v>1507</v>
      </c>
      <c r="E496" s="6" t="s">
        <v>1522</v>
      </c>
      <c r="F496" s="6" t="s">
        <v>81</v>
      </c>
      <c r="G496" s="15" t="str" cm="1">
        <f t="array" ref="G496">MultiMatchPrefix(Table_Data[[#This Row],[D ID]],Table_Mappings[Data ID],0,"",TRUE,";
")</f>
        <v/>
      </c>
    </row>
    <row r="497" spans="1:14" x14ac:dyDescent="0.25">
      <c r="A497" s="20" t="s">
        <v>1523</v>
      </c>
      <c r="B497" s="11" t="s">
        <v>643</v>
      </c>
      <c r="C497" s="6" t="s">
        <v>1471</v>
      </c>
      <c r="D497" s="6" t="s">
        <v>1507</v>
      </c>
      <c r="E497" s="6" t="s">
        <v>1524</v>
      </c>
      <c r="F497" s="6" t="s">
        <v>1525</v>
      </c>
      <c r="G497" s="15" t="str" cm="1">
        <f t="array" ref="G497">MultiMatchPrefix(Table_Data[[#This Row],[D ID]],Table_Mappings[Data ID],0,"",TRUE,";
")</f>
        <v/>
      </c>
    </row>
    <row r="498" spans="1:14" x14ac:dyDescent="0.25">
      <c r="A498" s="20" t="s">
        <v>1526</v>
      </c>
      <c r="B498" s="11" t="s">
        <v>643</v>
      </c>
      <c r="C498" s="6" t="s">
        <v>1471</v>
      </c>
      <c r="D498" s="6" t="s">
        <v>1507</v>
      </c>
      <c r="E498" s="6" t="s">
        <v>1527</v>
      </c>
      <c r="F498" s="6" t="s">
        <v>81</v>
      </c>
      <c r="G498" s="15" t="str" cm="1">
        <f t="array" ref="G498">MultiMatchPrefix(Table_Data[[#This Row],[D ID]],Table_Mappings[Data ID],0,"",TRUE,";
")</f>
        <v/>
      </c>
    </row>
    <row r="499" spans="1:14" x14ac:dyDescent="0.25">
      <c r="A499" s="20" t="s">
        <v>1528</v>
      </c>
      <c r="B499" s="11" t="s">
        <v>643</v>
      </c>
      <c r="C499" s="6" t="s">
        <v>1471</v>
      </c>
      <c r="D499" s="6" t="s">
        <v>1507</v>
      </c>
      <c r="E499" s="6" t="s">
        <v>1529</v>
      </c>
      <c r="F499" s="6" t="s">
        <v>81</v>
      </c>
      <c r="G499" s="15" t="str" cm="1">
        <f t="array" ref="G499">MultiMatchPrefix(Table_Data[[#This Row],[D ID]],Table_Mappings[Data ID],0,"",TRUE,";
")</f>
        <v/>
      </c>
    </row>
    <row r="500" spans="1:14" x14ac:dyDescent="0.25">
      <c r="A500" s="20" t="s">
        <v>1530</v>
      </c>
      <c r="B500" s="11" t="s">
        <v>643</v>
      </c>
      <c r="C500" s="6" t="s">
        <v>1471</v>
      </c>
      <c r="D500" s="6" t="s">
        <v>1507</v>
      </c>
      <c r="E500" s="6" t="s">
        <v>1531</v>
      </c>
      <c r="F500" s="6" t="s">
        <v>81</v>
      </c>
      <c r="G500" s="15" t="str" cm="1">
        <f t="array" ref="G500">MultiMatchPrefix(Table_Data[[#This Row],[D ID]],Table_Mappings[Data ID],0,"",TRUE,";
")</f>
        <v/>
      </c>
    </row>
    <row r="501" spans="1:14" x14ac:dyDescent="0.25">
      <c r="A501" s="20" t="s">
        <v>1532</v>
      </c>
      <c r="B501" s="11" t="s">
        <v>643</v>
      </c>
      <c r="C501" s="6" t="s">
        <v>1471</v>
      </c>
      <c r="D501" s="6" t="s">
        <v>1507</v>
      </c>
      <c r="E501" s="6" t="s">
        <v>1505</v>
      </c>
      <c r="F501" s="6" t="s">
        <v>81</v>
      </c>
      <c r="G501" s="15" t="str" cm="1">
        <f t="array" ref="G501">MultiMatchPrefix(Table_Data[[#This Row],[D ID]],Table_Mappings[Data ID],0,"",TRUE,";
")</f>
        <v/>
      </c>
    </row>
    <row r="502" spans="1:14" ht="37.5" x14ac:dyDescent="0.25">
      <c r="A502" s="20" t="s">
        <v>482</v>
      </c>
      <c r="B502" s="11" t="s">
        <v>79</v>
      </c>
      <c r="C502" s="6" t="s">
        <v>1533</v>
      </c>
      <c r="D502" s="17"/>
      <c r="E502" s="17"/>
      <c r="F502" s="6" t="s">
        <v>1534</v>
      </c>
      <c r="G502" s="15" t="str" cm="1">
        <f t="array" ref="G502">MultiMatchPrefix(Table_Data[[#This Row],[D ID]],Table_Mappings[Data ID],0,"",TRUE,";
")</f>
        <v>03.08 Outgoing goods or kits</v>
      </c>
    </row>
    <row r="503" spans="1:14" ht="25" x14ac:dyDescent="0.25">
      <c r="A503" s="20" t="s">
        <v>1535</v>
      </c>
      <c r="B503" s="11" t="s">
        <v>640</v>
      </c>
      <c r="C503" s="6" t="s">
        <v>1533</v>
      </c>
      <c r="D503" s="6" t="s">
        <v>1536</v>
      </c>
      <c r="E503" s="17"/>
      <c r="F503" s="6" t="s">
        <v>81</v>
      </c>
      <c r="G503" s="15" t="str" cm="1">
        <f t="array" ref="G503">MultiMatchPrefix(Table_Data[[#This Row],[D ID]],Table_Mappings[Data ID],0,"",TRUE,";
")</f>
        <v/>
      </c>
    </row>
    <row r="504" spans="1:14" ht="25" x14ac:dyDescent="0.25">
      <c r="A504" s="20" t="s">
        <v>1537</v>
      </c>
      <c r="B504" s="11" t="s">
        <v>643</v>
      </c>
      <c r="C504" s="6" t="s">
        <v>1533</v>
      </c>
      <c r="D504" s="6" t="s">
        <v>1536</v>
      </c>
      <c r="E504" s="6" t="s">
        <v>1538</v>
      </c>
      <c r="F504" s="6" t="s">
        <v>81</v>
      </c>
      <c r="G504" s="15" t="str" cm="1">
        <f t="array" ref="G504">MultiMatchPrefix(Table_Data[[#This Row],[D ID]],Table_Mappings[Data ID],0,"",TRUE,";
")</f>
        <v/>
      </c>
    </row>
    <row r="505" spans="1:14" ht="25" x14ac:dyDescent="0.25">
      <c r="A505" s="20" t="s">
        <v>1539</v>
      </c>
      <c r="B505" s="11" t="s">
        <v>643</v>
      </c>
      <c r="C505" s="6" t="s">
        <v>1533</v>
      </c>
      <c r="D505" s="6" t="s">
        <v>1536</v>
      </c>
      <c r="E505" s="6" t="s">
        <v>1480</v>
      </c>
      <c r="F505" s="6" t="s">
        <v>81</v>
      </c>
      <c r="G505" s="15" t="str" cm="1">
        <f t="array" ref="G505">MultiMatchPrefix(Table_Data[[#This Row],[D ID]],Table_Mappings[Data ID],0,"",TRUE,";
")</f>
        <v/>
      </c>
    </row>
    <row r="506" spans="1:14" ht="25" x14ac:dyDescent="0.25">
      <c r="A506" s="20" t="s">
        <v>1540</v>
      </c>
      <c r="B506" s="11" t="s">
        <v>643</v>
      </c>
      <c r="C506" s="6" t="s">
        <v>1533</v>
      </c>
      <c r="D506" s="6" t="s">
        <v>1536</v>
      </c>
      <c r="E506" s="6" t="s">
        <v>1541</v>
      </c>
      <c r="F506" s="6" t="s">
        <v>81</v>
      </c>
      <c r="G506" s="15" t="str" cm="1">
        <f t="array" ref="G506">MultiMatchPrefix(Table_Data[[#This Row],[D ID]],Table_Mappings[Data ID],0,"",TRUE,";
")</f>
        <v/>
      </c>
    </row>
    <row r="507" spans="1:14" ht="25" x14ac:dyDescent="0.25">
      <c r="A507" s="20" t="s">
        <v>1542</v>
      </c>
      <c r="B507" s="11" t="s">
        <v>643</v>
      </c>
      <c r="C507" s="6" t="s">
        <v>1533</v>
      </c>
      <c r="D507" s="6" t="s">
        <v>1536</v>
      </c>
      <c r="E507" s="6" t="s">
        <v>1543</v>
      </c>
      <c r="F507" s="6" t="s">
        <v>81</v>
      </c>
      <c r="G507" s="15" t="str" cm="1">
        <f t="array" ref="G507">MultiMatchPrefix(Table_Data[[#This Row],[D ID]],Table_Mappings[Data ID],0,"",TRUE,";
")</f>
        <v/>
      </c>
    </row>
    <row r="508" spans="1:14" ht="25" x14ac:dyDescent="0.25">
      <c r="A508" s="20" t="s">
        <v>1544</v>
      </c>
      <c r="B508" s="11" t="s">
        <v>643</v>
      </c>
      <c r="C508" s="6" t="s">
        <v>1533</v>
      </c>
      <c r="D508" s="6" t="s">
        <v>1536</v>
      </c>
      <c r="E508" s="6" t="s">
        <v>1373</v>
      </c>
      <c r="F508" s="6" t="s">
        <v>81</v>
      </c>
      <c r="G508" s="15" t="str" cm="1">
        <f t="array" ref="G508">MultiMatchPrefix(Table_Data[[#This Row],[D ID]],Table_Mappings[Data ID],0,"",TRUE,";
")</f>
        <v/>
      </c>
    </row>
    <row r="509" spans="1:14" ht="25" x14ac:dyDescent="0.25">
      <c r="A509" s="20" t="s">
        <v>1545</v>
      </c>
      <c r="B509" s="11" t="s">
        <v>643</v>
      </c>
      <c r="C509" s="6" t="s">
        <v>1533</v>
      </c>
      <c r="D509" s="6" t="s">
        <v>1536</v>
      </c>
      <c r="E509" s="6" t="s">
        <v>1546</v>
      </c>
      <c r="F509" s="6" t="s">
        <v>81</v>
      </c>
      <c r="G509" s="15" t="str" cm="1">
        <f t="array" ref="G509">MultiMatchPrefix(Table_Data[[#This Row],[D ID]],Table_Mappings[Data ID],0,"",TRUE,";
")</f>
        <v/>
      </c>
    </row>
    <row r="510" spans="1:14" x14ac:dyDescent="0.25">
      <c r="A510" s="20" t="s">
        <v>1547</v>
      </c>
      <c r="B510" s="11" t="s">
        <v>640</v>
      </c>
      <c r="C510" s="6" t="s">
        <v>1533</v>
      </c>
      <c r="D510" s="6" t="s">
        <v>1548</v>
      </c>
      <c r="E510" s="17"/>
      <c r="F510" s="6" t="s">
        <v>81</v>
      </c>
      <c r="G510" s="15" t="str" cm="1">
        <f t="array" ref="G510">MultiMatchPrefix(Table_Data[[#This Row],[D ID]],Table_Mappings[Data ID],0,"",TRUE,";
")</f>
        <v/>
      </c>
    </row>
    <row r="511" spans="1:14" x14ac:dyDescent="0.25">
      <c r="A511" s="20" t="s">
        <v>1549</v>
      </c>
      <c r="B511" s="11" t="s">
        <v>643</v>
      </c>
      <c r="C511" s="6" t="s">
        <v>1533</v>
      </c>
      <c r="D511" s="6" t="s">
        <v>1548</v>
      </c>
      <c r="E511" s="6" t="s">
        <v>1550</v>
      </c>
      <c r="F511" s="6" t="s">
        <v>81</v>
      </c>
      <c r="G511" s="15" t="str" cm="1">
        <f t="array" ref="G511">MultiMatchPrefix(Table_Data[[#This Row],[D ID]],Table_Mappings[Data ID],0,"",TRUE,";
")</f>
        <v/>
      </c>
    </row>
    <row r="512" spans="1:14" ht="13" x14ac:dyDescent="0.25">
      <c r="A512" s="20" t="s">
        <v>1551</v>
      </c>
      <c r="B512" s="11" t="s">
        <v>643</v>
      </c>
      <c r="C512" s="153" t="s">
        <v>1533</v>
      </c>
      <c r="D512" s="153" t="s">
        <v>1548</v>
      </c>
      <c r="E512" s="153" t="s">
        <v>694</v>
      </c>
      <c r="F512" s="6" t="s">
        <v>692</v>
      </c>
      <c r="G512" s="15" t="str" cm="1">
        <f t="array" ref="G512">MultiMatchPrefix(Table_Data[[#This Row],[D ID]],Table_Mappings[Data ID],0,"",TRUE,";
")</f>
        <v/>
      </c>
      <c r="I512" s="19" t="s">
        <v>2632</v>
      </c>
      <c r="J512" s="19" t="s">
        <v>715</v>
      </c>
      <c r="M512" s="19" t="s">
        <v>2673</v>
      </c>
      <c r="N512" s="181">
        <v>100</v>
      </c>
    </row>
    <row r="513" spans="1:7" x14ac:dyDescent="0.25">
      <c r="A513" s="20" t="s">
        <v>1552</v>
      </c>
      <c r="B513" s="11" t="s">
        <v>640</v>
      </c>
      <c r="C513" s="6" t="s">
        <v>1533</v>
      </c>
      <c r="D513" s="6" t="s">
        <v>1553</v>
      </c>
      <c r="E513" s="17"/>
      <c r="F513" s="6" t="s">
        <v>81</v>
      </c>
      <c r="G513" s="15" t="str" cm="1">
        <f t="array" ref="G513">MultiMatchPrefix(Table_Data[[#This Row],[D ID]],Table_Mappings[Data ID],0,"",TRUE,";
")</f>
        <v/>
      </c>
    </row>
    <row r="514" spans="1:7" x14ac:dyDescent="0.25">
      <c r="A514" s="20" t="s">
        <v>1554</v>
      </c>
      <c r="B514" s="11" t="s">
        <v>643</v>
      </c>
      <c r="C514" s="6" t="s">
        <v>1533</v>
      </c>
      <c r="D514" s="6" t="s">
        <v>1553</v>
      </c>
      <c r="E514" s="6" t="s">
        <v>1555</v>
      </c>
      <c r="F514" s="6" t="s">
        <v>81</v>
      </c>
      <c r="G514" s="15" t="str" cm="1">
        <f t="array" ref="G514">MultiMatchPrefix(Table_Data[[#This Row],[D ID]],Table_Mappings[Data ID],0,"",TRUE,";
")</f>
        <v/>
      </c>
    </row>
    <row r="515" spans="1:7" x14ac:dyDescent="0.25">
      <c r="A515" s="20" t="s">
        <v>1556</v>
      </c>
      <c r="B515" s="11" t="s">
        <v>640</v>
      </c>
      <c r="C515" s="6" t="s">
        <v>1533</v>
      </c>
      <c r="D515" s="6" t="s">
        <v>1557</v>
      </c>
      <c r="E515" s="17"/>
      <c r="F515" s="6" t="s">
        <v>81</v>
      </c>
      <c r="G515" s="15" t="str" cm="1">
        <f t="array" ref="G515">MultiMatchPrefix(Table_Data[[#This Row],[D ID]],Table_Mappings[Data ID],0,"",TRUE,";
")</f>
        <v/>
      </c>
    </row>
    <row r="516" spans="1:7" x14ac:dyDescent="0.25">
      <c r="A516" s="20" t="s">
        <v>1558</v>
      </c>
      <c r="B516" s="11" t="s">
        <v>643</v>
      </c>
      <c r="C516" s="6" t="s">
        <v>1533</v>
      </c>
      <c r="D516" s="6" t="s">
        <v>1557</v>
      </c>
      <c r="E516" s="6" t="s">
        <v>1559</v>
      </c>
      <c r="F516" s="6" t="s">
        <v>81</v>
      </c>
      <c r="G516" s="15" t="str" cm="1">
        <f t="array" ref="G516">MultiMatchPrefix(Table_Data[[#This Row],[D ID]],Table_Mappings[Data ID],0,"",TRUE,";
")</f>
        <v/>
      </c>
    </row>
    <row r="517" spans="1:7" x14ac:dyDescent="0.25">
      <c r="A517" s="20" t="s">
        <v>1560</v>
      </c>
      <c r="B517" s="11" t="s">
        <v>640</v>
      </c>
      <c r="C517" s="6" t="s">
        <v>1533</v>
      </c>
      <c r="D517" s="6" t="s">
        <v>1561</v>
      </c>
      <c r="E517" s="17"/>
      <c r="F517" s="6" t="s">
        <v>81</v>
      </c>
      <c r="G517" s="15" t="str" cm="1">
        <f t="array" ref="G517">MultiMatchPrefix(Table_Data[[#This Row],[D ID]],Table_Mappings[Data ID],0,"",TRUE,";
")</f>
        <v/>
      </c>
    </row>
    <row r="518" spans="1:7" x14ac:dyDescent="0.25">
      <c r="A518" s="20" t="s">
        <v>1562</v>
      </c>
      <c r="B518" s="11" t="s">
        <v>643</v>
      </c>
      <c r="C518" s="6" t="s">
        <v>1533</v>
      </c>
      <c r="D518" s="6" t="s">
        <v>1561</v>
      </c>
      <c r="E518" s="6" t="s">
        <v>646</v>
      </c>
      <c r="F518" s="6" t="s">
        <v>81</v>
      </c>
      <c r="G518" s="15" t="str" cm="1">
        <f t="array" ref="G518">MultiMatchPrefix(Table_Data[[#This Row],[D ID]],Table_Mappings[Data ID],0,"",TRUE,";
")</f>
        <v/>
      </c>
    </row>
    <row r="519" spans="1:7" x14ac:dyDescent="0.25">
      <c r="A519" s="20" t="s">
        <v>1563</v>
      </c>
      <c r="B519" s="11" t="s">
        <v>643</v>
      </c>
      <c r="C519" s="6" t="s">
        <v>1533</v>
      </c>
      <c r="D519" s="6" t="s">
        <v>1561</v>
      </c>
      <c r="E519" s="6" t="s">
        <v>650</v>
      </c>
      <c r="F519" s="6" t="s">
        <v>81</v>
      </c>
      <c r="G519" s="15" t="str" cm="1">
        <f t="array" ref="G519">MultiMatchPrefix(Table_Data[[#This Row],[D ID]],Table_Mappings[Data ID],0,"",TRUE,";
")</f>
        <v/>
      </c>
    </row>
    <row r="520" spans="1:7" x14ac:dyDescent="0.25">
      <c r="A520" s="20" t="s">
        <v>1564</v>
      </c>
      <c r="B520" s="11" t="s">
        <v>643</v>
      </c>
      <c r="C520" s="6" t="s">
        <v>1533</v>
      </c>
      <c r="D520" s="6" t="s">
        <v>1561</v>
      </c>
      <c r="E520" s="6" t="s">
        <v>1497</v>
      </c>
      <c r="F520" s="6" t="s">
        <v>81</v>
      </c>
      <c r="G520" s="15" t="str" cm="1">
        <f t="array" ref="G520">MultiMatchPrefix(Table_Data[[#This Row],[D ID]],Table_Mappings[Data ID],0,"",TRUE,";
")</f>
        <v/>
      </c>
    </row>
    <row r="521" spans="1:7" x14ac:dyDescent="0.25">
      <c r="A521" s="20" t="s">
        <v>1565</v>
      </c>
      <c r="B521" s="11" t="s">
        <v>643</v>
      </c>
      <c r="C521" s="6" t="s">
        <v>1533</v>
      </c>
      <c r="D521" s="6" t="s">
        <v>1561</v>
      </c>
      <c r="E521" s="6" t="s">
        <v>1566</v>
      </c>
      <c r="F521" s="6" t="s">
        <v>81</v>
      </c>
      <c r="G521" s="15" t="str" cm="1">
        <f t="array" ref="G521">MultiMatchPrefix(Table_Data[[#This Row],[D ID]],Table_Mappings[Data ID],0,"",TRUE,";
")</f>
        <v/>
      </c>
    </row>
    <row r="522" spans="1:7" ht="25" x14ac:dyDescent="0.25">
      <c r="A522" s="20" t="s">
        <v>484</v>
      </c>
      <c r="B522" s="11" t="s">
        <v>79</v>
      </c>
      <c r="C522" s="6" t="s">
        <v>1567</v>
      </c>
      <c r="D522" s="17"/>
      <c r="E522" s="17"/>
      <c r="F522" s="6" t="s">
        <v>1568</v>
      </c>
      <c r="G522" s="15" t="str" cm="1">
        <f t="array" ref="G522">MultiMatchPrefix(Table_Data[[#This Row],[D ID]],Table_Mappings[Data ID],0,"",TRUE,";
")</f>
        <v>03.08 Outgoing goods or kits</v>
      </c>
    </row>
    <row r="523" spans="1:7" x14ac:dyDescent="0.25">
      <c r="A523" s="20" t="s">
        <v>1569</v>
      </c>
      <c r="B523" s="11" t="s">
        <v>640</v>
      </c>
      <c r="C523" s="6" t="s">
        <v>1567</v>
      </c>
      <c r="D523" s="6" t="s">
        <v>1570</v>
      </c>
      <c r="E523" s="17"/>
      <c r="F523" s="6" t="s">
        <v>81</v>
      </c>
      <c r="G523" s="15" t="str" cm="1">
        <f t="array" ref="G523">MultiMatchPrefix(Table_Data[[#This Row],[D ID]],Table_Mappings[Data ID],0,"",TRUE,";
")</f>
        <v/>
      </c>
    </row>
    <row r="524" spans="1:7" x14ac:dyDescent="0.25">
      <c r="A524" s="20" t="s">
        <v>1571</v>
      </c>
      <c r="B524" s="11" t="s">
        <v>643</v>
      </c>
      <c r="C524" s="6" t="s">
        <v>1567</v>
      </c>
      <c r="D524" s="6" t="s">
        <v>1570</v>
      </c>
      <c r="E524" s="6" t="s">
        <v>1045</v>
      </c>
      <c r="F524" s="6" t="s">
        <v>1572</v>
      </c>
      <c r="G524" s="15" t="str" cm="1">
        <f t="array" ref="G524">MultiMatchPrefix(Table_Data[[#This Row],[D ID]],Table_Mappings[Data ID],0,"",TRUE,";
")</f>
        <v/>
      </c>
    </row>
    <row r="525" spans="1:7" x14ac:dyDescent="0.25">
      <c r="A525" s="20" t="s">
        <v>1573</v>
      </c>
      <c r="B525" s="11" t="s">
        <v>643</v>
      </c>
      <c r="C525" s="6" t="s">
        <v>1567</v>
      </c>
      <c r="D525" s="6" t="s">
        <v>1570</v>
      </c>
      <c r="E525" s="6" t="s">
        <v>1574</v>
      </c>
      <c r="F525" s="6" t="s">
        <v>81</v>
      </c>
      <c r="G525" s="15" t="str" cm="1">
        <f t="array" ref="G525">MultiMatchPrefix(Table_Data[[#This Row],[D ID]],Table_Mappings[Data ID],0,"",TRUE,";
")</f>
        <v/>
      </c>
    </row>
    <row r="526" spans="1:7" x14ac:dyDescent="0.25">
      <c r="A526" s="20" t="s">
        <v>1575</v>
      </c>
      <c r="B526" s="11" t="s">
        <v>643</v>
      </c>
      <c r="C526" s="6" t="s">
        <v>1567</v>
      </c>
      <c r="D526" s="6" t="s">
        <v>1570</v>
      </c>
      <c r="E526" s="6" t="s">
        <v>1376</v>
      </c>
      <c r="F526" s="6" t="s">
        <v>81</v>
      </c>
      <c r="G526" s="15" t="str" cm="1">
        <f t="array" ref="G526">MultiMatchPrefix(Table_Data[[#This Row],[D ID]],Table_Mappings[Data ID],0,"",TRUE,";
")</f>
        <v/>
      </c>
    </row>
    <row r="527" spans="1:7" x14ac:dyDescent="0.25">
      <c r="A527" s="20" t="s">
        <v>1576</v>
      </c>
      <c r="B527" s="11" t="s">
        <v>643</v>
      </c>
      <c r="C527" s="6" t="s">
        <v>1567</v>
      </c>
      <c r="D527" s="6" t="s">
        <v>1570</v>
      </c>
      <c r="E527" s="6" t="s">
        <v>1577</v>
      </c>
      <c r="F527" s="6" t="s">
        <v>1578</v>
      </c>
      <c r="G527" s="15" t="str" cm="1">
        <f t="array" ref="G527">MultiMatchPrefix(Table_Data[[#This Row],[D ID]],Table_Mappings[Data ID],0,"",TRUE,";
")</f>
        <v/>
      </c>
    </row>
    <row r="528" spans="1:7" x14ac:dyDescent="0.25">
      <c r="A528" s="20" t="s">
        <v>1579</v>
      </c>
      <c r="B528" s="11" t="s">
        <v>640</v>
      </c>
      <c r="C528" s="6" t="s">
        <v>1567</v>
      </c>
      <c r="D528" s="6" t="s">
        <v>1548</v>
      </c>
      <c r="E528" s="17"/>
      <c r="F528" s="6" t="s">
        <v>81</v>
      </c>
      <c r="G528" s="15" t="str" cm="1">
        <f t="array" ref="G528">MultiMatchPrefix(Table_Data[[#This Row],[D ID]],Table_Mappings[Data ID],0,"",TRUE,";
")</f>
        <v/>
      </c>
    </row>
    <row r="529" spans="1:14" x14ac:dyDescent="0.25">
      <c r="A529" s="20" t="s">
        <v>1580</v>
      </c>
      <c r="B529" s="11" t="s">
        <v>643</v>
      </c>
      <c r="C529" s="6" t="s">
        <v>1567</v>
      </c>
      <c r="D529" s="6" t="s">
        <v>1548</v>
      </c>
      <c r="E529" s="6" t="s">
        <v>1550</v>
      </c>
      <c r="F529" s="6" t="s">
        <v>81</v>
      </c>
      <c r="G529" s="15" t="str" cm="1">
        <f t="array" ref="G529">MultiMatchPrefix(Table_Data[[#This Row],[D ID]],Table_Mappings[Data ID],0,"",TRUE,";
")</f>
        <v/>
      </c>
    </row>
    <row r="530" spans="1:14" ht="13" x14ac:dyDescent="0.25">
      <c r="A530" s="20" t="s">
        <v>1581</v>
      </c>
      <c r="B530" s="11" t="s">
        <v>643</v>
      </c>
      <c r="C530" s="153" t="s">
        <v>1567</v>
      </c>
      <c r="D530" s="153" t="s">
        <v>1548</v>
      </c>
      <c r="E530" s="153" t="s">
        <v>694</v>
      </c>
      <c r="F530" s="6" t="s">
        <v>692</v>
      </c>
      <c r="G530" s="15" t="str" cm="1">
        <f t="array" ref="G530">MultiMatchPrefix(Table_Data[[#This Row],[D ID]],Table_Mappings[Data ID],0,"",TRUE,";
")</f>
        <v/>
      </c>
      <c r="I530" s="19" t="s">
        <v>2632</v>
      </c>
      <c r="J530" s="19" t="s">
        <v>715</v>
      </c>
      <c r="M530" s="19" t="s">
        <v>2673</v>
      </c>
      <c r="N530" s="181">
        <v>100</v>
      </c>
    </row>
    <row r="531" spans="1:14" x14ac:dyDescent="0.25">
      <c r="A531" s="20" t="s">
        <v>1582</v>
      </c>
      <c r="B531" s="11" t="s">
        <v>640</v>
      </c>
      <c r="C531" s="6" t="s">
        <v>1567</v>
      </c>
      <c r="D531" s="6" t="s">
        <v>1583</v>
      </c>
      <c r="E531" s="17"/>
      <c r="F531" s="6" t="s">
        <v>81</v>
      </c>
      <c r="G531" s="15" t="str" cm="1">
        <f t="array" ref="G531">MultiMatchPrefix(Table_Data[[#This Row],[D ID]],Table_Mappings[Data ID],0,"",TRUE,";
")</f>
        <v/>
      </c>
    </row>
    <row r="532" spans="1:14" x14ac:dyDescent="0.25">
      <c r="A532" s="20" t="s">
        <v>1584</v>
      </c>
      <c r="B532" s="11" t="s">
        <v>643</v>
      </c>
      <c r="C532" s="6" t="s">
        <v>1567</v>
      </c>
      <c r="D532" s="6" t="s">
        <v>1583</v>
      </c>
      <c r="E532" s="6" t="s">
        <v>1555</v>
      </c>
      <c r="F532" s="6" t="s">
        <v>81</v>
      </c>
      <c r="G532" s="15" t="str" cm="1">
        <f t="array" ref="G532">MultiMatchPrefix(Table_Data[[#This Row],[D ID]],Table_Mappings[Data ID],0,"",TRUE,";
")</f>
        <v/>
      </c>
    </row>
    <row r="533" spans="1:14" ht="13" x14ac:dyDescent="0.25">
      <c r="A533" s="20" t="s">
        <v>1585</v>
      </c>
      <c r="B533" s="11" t="s">
        <v>643</v>
      </c>
      <c r="C533" s="153" t="s">
        <v>1567</v>
      </c>
      <c r="D533" s="153" t="s">
        <v>1583</v>
      </c>
      <c r="E533" s="153" t="s">
        <v>694</v>
      </c>
      <c r="F533" s="6" t="s">
        <v>692</v>
      </c>
      <c r="G533" s="15" t="str" cm="1">
        <f t="array" ref="G533">MultiMatchPrefix(Table_Data[[#This Row],[D ID]],Table_Mappings[Data ID],0,"",TRUE,";
")</f>
        <v/>
      </c>
    </row>
    <row r="534" spans="1:14" x14ac:dyDescent="0.25">
      <c r="A534" s="20" t="s">
        <v>1586</v>
      </c>
      <c r="B534" s="11" t="s">
        <v>640</v>
      </c>
      <c r="C534" s="6" t="s">
        <v>1567</v>
      </c>
      <c r="D534" s="6" t="s">
        <v>1587</v>
      </c>
      <c r="E534" s="17"/>
      <c r="F534" s="6" t="s">
        <v>81</v>
      </c>
      <c r="G534" s="15" t="str" cm="1">
        <f t="array" ref="G534">MultiMatchPrefix(Table_Data[[#This Row],[D ID]],Table_Mappings[Data ID],0,"",TRUE,";
")</f>
        <v/>
      </c>
    </row>
    <row r="535" spans="1:14" x14ac:dyDescent="0.25">
      <c r="A535" s="20" t="s">
        <v>1588</v>
      </c>
      <c r="B535" s="11" t="s">
        <v>643</v>
      </c>
      <c r="C535" s="6" t="s">
        <v>1567</v>
      </c>
      <c r="D535" s="6" t="s">
        <v>1587</v>
      </c>
      <c r="E535" s="6" t="s">
        <v>646</v>
      </c>
      <c r="F535" s="6" t="s">
        <v>1589</v>
      </c>
      <c r="G535" s="15" t="str" cm="1">
        <f t="array" ref="G535">MultiMatchPrefix(Table_Data[[#This Row],[D ID]],Table_Mappings[Data ID],0,"",TRUE,";
")</f>
        <v/>
      </c>
    </row>
    <row r="536" spans="1:14" x14ac:dyDescent="0.25">
      <c r="A536" s="20" t="s">
        <v>1590</v>
      </c>
      <c r="B536" s="11" t="s">
        <v>643</v>
      </c>
      <c r="C536" s="6" t="s">
        <v>1567</v>
      </c>
      <c r="D536" s="6" t="s">
        <v>1587</v>
      </c>
      <c r="E536" s="6" t="s">
        <v>650</v>
      </c>
      <c r="F536" s="6" t="s">
        <v>81</v>
      </c>
      <c r="G536" s="15" t="str" cm="1">
        <f t="array" ref="G536">MultiMatchPrefix(Table_Data[[#This Row],[D ID]],Table_Mappings[Data ID],0,"",TRUE,";
")</f>
        <v/>
      </c>
    </row>
    <row r="537" spans="1:14" x14ac:dyDescent="0.25">
      <c r="A537" s="20" t="s">
        <v>1591</v>
      </c>
      <c r="B537" s="11" t="s">
        <v>643</v>
      </c>
      <c r="C537" s="6" t="s">
        <v>1567</v>
      </c>
      <c r="D537" s="6" t="s">
        <v>1587</v>
      </c>
      <c r="E537" s="6" t="s">
        <v>1592</v>
      </c>
      <c r="F537" s="6" t="s">
        <v>81</v>
      </c>
      <c r="G537" s="15" t="str" cm="1">
        <f t="array" ref="G537">MultiMatchPrefix(Table_Data[[#This Row],[D ID]],Table_Mappings[Data ID],0,"",TRUE,";
")</f>
        <v/>
      </c>
    </row>
    <row r="538" spans="1:14" x14ac:dyDescent="0.25">
      <c r="A538" s="20" t="s">
        <v>1593</v>
      </c>
      <c r="B538" s="11" t="s">
        <v>643</v>
      </c>
      <c r="C538" s="6" t="s">
        <v>1567</v>
      </c>
      <c r="D538" s="6" t="s">
        <v>1587</v>
      </c>
      <c r="E538" s="6" t="s">
        <v>878</v>
      </c>
      <c r="F538" s="6" t="s">
        <v>81</v>
      </c>
      <c r="G538" s="15" t="str" cm="1">
        <f t="array" ref="G538">MultiMatchPrefix(Table_Data[[#This Row],[D ID]],Table_Mappings[Data ID],0,"",TRUE,";
")</f>
        <v/>
      </c>
    </row>
    <row r="539" spans="1:14" x14ac:dyDescent="0.25">
      <c r="A539" s="20" t="s">
        <v>1594</v>
      </c>
      <c r="B539" s="11" t="s">
        <v>643</v>
      </c>
      <c r="C539" s="6" t="s">
        <v>1567</v>
      </c>
      <c r="D539" s="6" t="s">
        <v>1587</v>
      </c>
      <c r="E539" s="6" t="s">
        <v>1566</v>
      </c>
      <c r="F539" s="6" t="s">
        <v>81</v>
      </c>
      <c r="G539" s="15" t="str" cm="1">
        <f t="array" ref="G539">MultiMatchPrefix(Table_Data[[#This Row],[D ID]],Table_Mappings[Data ID],0,"",TRUE,";
")</f>
        <v/>
      </c>
    </row>
    <row r="540" spans="1:14" x14ac:dyDescent="0.25">
      <c r="A540" s="20" t="s">
        <v>1595</v>
      </c>
      <c r="B540" s="11" t="s">
        <v>643</v>
      </c>
      <c r="C540" s="6" t="s">
        <v>1567</v>
      </c>
      <c r="D540" s="6" t="s">
        <v>1587</v>
      </c>
      <c r="E540" s="6" t="s">
        <v>1596</v>
      </c>
      <c r="F540" s="6" t="s">
        <v>1597</v>
      </c>
      <c r="G540" s="15" t="str" cm="1">
        <f t="array" ref="G540">MultiMatchPrefix(Table_Data[[#This Row],[D ID]],Table_Mappings[Data ID],0,"",TRUE,";
")</f>
        <v/>
      </c>
    </row>
    <row r="541" spans="1:14" x14ac:dyDescent="0.25">
      <c r="A541" s="20" t="s">
        <v>1598</v>
      </c>
      <c r="B541" s="11" t="s">
        <v>643</v>
      </c>
      <c r="C541" s="6" t="s">
        <v>1567</v>
      </c>
      <c r="D541" s="6" t="s">
        <v>1587</v>
      </c>
      <c r="E541" s="6" t="s">
        <v>1599</v>
      </c>
      <c r="F541" s="6" t="s">
        <v>1600</v>
      </c>
      <c r="G541" s="15" t="str" cm="1">
        <f t="array" ref="G541">MultiMatchPrefix(Table_Data[[#This Row],[D ID]],Table_Mappings[Data ID],0,"",TRUE,";
")</f>
        <v/>
      </c>
    </row>
    <row r="542" spans="1:14" x14ac:dyDescent="0.25">
      <c r="A542" s="20" t="s">
        <v>1601</v>
      </c>
      <c r="B542" s="11" t="s">
        <v>643</v>
      </c>
      <c r="C542" s="6" t="s">
        <v>1567</v>
      </c>
      <c r="D542" s="6" t="s">
        <v>1587</v>
      </c>
      <c r="E542" s="6" t="s">
        <v>1602</v>
      </c>
      <c r="F542" s="6" t="s">
        <v>81</v>
      </c>
      <c r="G542" s="15" t="str" cm="1">
        <f t="array" ref="G542">MultiMatchPrefix(Table_Data[[#This Row],[D ID]],Table_Mappings[Data ID],0,"",TRUE,";
")</f>
        <v/>
      </c>
    </row>
    <row r="543" spans="1:14" x14ac:dyDescent="0.25">
      <c r="A543" s="20" t="s">
        <v>1603</v>
      </c>
      <c r="B543" s="11" t="s">
        <v>643</v>
      </c>
      <c r="C543" s="6" t="s">
        <v>1567</v>
      </c>
      <c r="D543" s="6" t="s">
        <v>1587</v>
      </c>
      <c r="E543" s="6" t="s">
        <v>1604</v>
      </c>
      <c r="F543" s="6" t="s">
        <v>81</v>
      </c>
      <c r="G543" s="15" t="str" cm="1">
        <f t="array" ref="G543">MultiMatchPrefix(Table_Data[[#This Row],[D ID]],Table_Mappings[Data ID],0,"",TRUE,";
")</f>
        <v/>
      </c>
    </row>
    <row r="544" spans="1:14" x14ac:dyDescent="0.25">
      <c r="A544" s="20" t="s">
        <v>1605</v>
      </c>
      <c r="B544" s="11" t="s">
        <v>643</v>
      </c>
      <c r="C544" s="6" t="s">
        <v>1567</v>
      </c>
      <c r="D544" s="6" t="s">
        <v>1587</v>
      </c>
      <c r="E544" s="6" t="s">
        <v>1606</v>
      </c>
      <c r="F544" s="6" t="s">
        <v>1607</v>
      </c>
      <c r="G544" s="15" t="str" cm="1">
        <f t="array" ref="G544">MultiMatchPrefix(Table_Data[[#This Row],[D ID]],Table_Mappings[Data ID],0,"",TRUE,";
")</f>
        <v/>
      </c>
    </row>
    <row r="545" spans="1:14" ht="25" x14ac:dyDescent="0.25">
      <c r="A545" s="20" t="s">
        <v>486</v>
      </c>
      <c r="B545" s="11" t="s">
        <v>79</v>
      </c>
      <c r="C545" s="6" t="s">
        <v>1608</v>
      </c>
      <c r="D545" s="17"/>
      <c r="E545" s="17"/>
      <c r="F545" s="6" t="s">
        <v>1472</v>
      </c>
      <c r="G545" s="15" t="str" cm="1">
        <f t="array" ref="G545">MultiMatchPrefix(Table_Data[[#This Row],[D ID]],Table_Mappings[Data ID],0,"",TRUE,";
")</f>
        <v>03.08 Outgoing goods or kits</v>
      </c>
    </row>
    <row r="546" spans="1:14" x14ac:dyDescent="0.25">
      <c r="A546" s="20" t="s">
        <v>1609</v>
      </c>
      <c r="B546" s="11" t="s">
        <v>640</v>
      </c>
      <c r="C546" s="6" t="s">
        <v>1608</v>
      </c>
      <c r="D546" s="6" t="s">
        <v>1548</v>
      </c>
      <c r="E546" s="17"/>
      <c r="F546" s="6" t="s">
        <v>81</v>
      </c>
      <c r="G546" s="15" t="str" cm="1">
        <f t="array" ref="G546">MultiMatchPrefix(Table_Data[[#This Row],[D ID]],Table_Mappings[Data ID],0,"",TRUE,";
")</f>
        <v/>
      </c>
    </row>
    <row r="547" spans="1:14" x14ac:dyDescent="0.25">
      <c r="A547" s="20" t="s">
        <v>1610</v>
      </c>
      <c r="B547" s="11" t="s">
        <v>643</v>
      </c>
      <c r="C547" s="6" t="s">
        <v>1608</v>
      </c>
      <c r="D547" s="6" t="s">
        <v>1548</v>
      </c>
      <c r="E547" s="6" t="s">
        <v>1550</v>
      </c>
      <c r="F547" s="6" t="s">
        <v>81</v>
      </c>
      <c r="G547" s="15" t="str" cm="1">
        <f t="array" ref="G547">MultiMatchPrefix(Table_Data[[#This Row],[D ID]],Table_Mappings[Data ID],0,"",TRUE,";
")</f>
        <v/>
      </c>
    </row>
    <row r="548" spans="1:14" ht="13" x14ac:dyDescent="0.25">
      <c r="A548" s="20" t="s">
        <v>1611</v>
      </c>
      <c r="B548" s="11" t="s">
        <v>643</v>
      </c>
      <c r="C548" s="153" t="s">
        <v>1608</v>
      </c>
      <c r="D548" s="153" t="s">
        <v>1548</v>
      </c>
      <c r="E548" s="153" t="s">
        <v>694</v>
      </c>
      <c r="F548" s="6" t="s">
        <v>692</v>
      </c>
      <c r="G548" s="15" t="str" cm="1">
        <f t="array" ref="G548">MultiMatchPrefix(Table_Data[[#This Row],[D ID]],Table_Mappings[Data ID],0,"",TRUE,";
")</f>
        <v/>
      </c>
      <c r="I548" s="19" t="s">
        <v>2632</v>
      </c>
      <c r="M548" s="19" t="s">
        <v>2673</v>
      </c>
      <c r="N548" s="181">
        <v>100</v>
      </c>
    </row>
    <row r="549" spans="1:14" x14ac:dyDescent="0.25">
      <c r="A549" s="20" t="s">
        <v>1612</v>
      </c>
      <c r="B549" s="11" t="s">
        <v>640</v>
      </c>
      <c r="C549" s="6" t="s">
        <v>1608</v>
      </c>
      <c r="D549" s="6" t="s">
        <v>1583</v>
      </c>
      <c r="E549" s="17"/>
      <c r="F549" s="6" t="s">
        <v>81</v>
      </c>
      <c r="G549" s="15" t="str" cm="1">
        <f t="array" ref="G549">MultiMatchPrefix(Table_Data[[#This Row],[D ID]],Table_Mappings[Data ID],0,"",TRUE,";
")</f>
        <v/>
      </c>
    </row>
    <row r="550" spans="1:14" x14ac:dyDescent="0.25">
      <c r="A550" s="20" t="s">
        <v>1613</v>
      </c>
      <c r="B550" s="11" t="s">
        <v>643</v>
      </c>
      <c r="C550" s="6" t="s">
        <v>1608</v>
      </c>
      <c r="D550" s="6" t="s">
        <v>1583</v>
      </c>
      <c r="E550" s="6" t="s">
        <v>1555</v>
      </c>
      <c r="F550" s="6" t="s">
        <v>81</v>
      </c>
      <c r="G550" s="15" t="str" cm="1">
        <f t="array" ref="G550">MultiMatchPrefix(Table_Data[[#This Row],[D ID]],Table_Mappings[Data ID],0,"",TRUE,";
")</f>
        <v/>
      </c>
    </row>
    <row r="551" spans="1:14" ht="13" x14ac:dyDescent="0.25">
      <c r="A551" s="20" t="s">
        <v>1614</v>
      </c>
      <c r="B551" s="11" t="s">
        <v>643</v>
      </c>
      <c r="C551" s="153" t="s">
        <v>1608</v>
      </c>
      <c r="D551" s="153" t="s">
        <v>1583</v>
      </c>
      <c r="E551" s="153" t="s">
        <v>694</v>
      </c>
      <c r="F551" s="6" t="s">
        <v>692</v>
      </c>
      <c r="G551" s="15" t="str" cm="1">
        <f t="array" ref="G551">MultiMatchPrefix(Table_Data[[#This Row],[D ID]],Table_Mappings[Data ID],0,"",TRUE,";
")</f>
        <v/>
      </c>
    </row>
    <row r="552" spans="1:14" x14ac:dyDescent="0.25">
      <c r="A552" s="20" t="s">
        <v>1615</v>
      </c>
      <c r="B552" s="11" t="s">
        <v>640</v>
      </c>
      <c r="C552" s="6" t="s">
        <v>1608</v>
      </c>
      <c r="D552" s="6" t="s">
        <v>1616</v>
      </c>
      <c r="E552" s="17"/>
      <c r="F552" s="6" t="s">
        <v>81</v>
      </c>
      <c r="G552" s="15" t="str" cm="1">
        <f t="array" ref="G552">MultiMatchPrefix(Table_Data[[#This Row],[D ID]],Table_Mappings[Data ID],0,"",TRUE,";
")</f>
        <v/>
      </c>
    </row>
    <row r="553" spans="1:14" x14ac:dyDescent="0.25">
      <c r="A553" s="20" t="s">
        <v>1617</v>
      </c>
      <c r="B553" s="11" t="s">
        <v>643</v>
      </c>
      <c r="C553" s="6" t="s">
        <v>1608</v>
      </c>
      <c r="D553" s="6" t="s">
        <v>1616</v>
      </c>
      <c r="E553" s="6" t="s">
        <v>1618</v>
      </c>
      <c r="F553" s="6" t="s">
        <v>81</v>
      </c>
      <c r="G553" s="15" t="str" cm="1">
        <f t="array" ref="G553">MultiMatchPrefix(Table_Data[[#This Row],[D ID]],Table_Mappings[Data ID],0,"",TRUE,";
")</f>
        <v/>
      </c>
    </row>
    <row r="554" spans="1:14" x14ac:dyDescent="0.25">
      <c r="A554" s="20" t="s">
        <v>1619</v>
      </c>
      <c r="B554" s="11" t="s">
        <v>643</v>
      </c>
      <c r="C554" s="6" t="s">
        <v>1608</v>
      </c>
      <c r="D554" s="6" t="s">
        <v>1616</v>
      </c>
      <c r="E554" s="6" t="s">
        <v>1620</v>
      </c>
      <c r="F554" s="6" t="s">
        <v>81</v>
      </c>
      <c r="G554" s="15" t="str" cm="1">
        <f t="array" ref="G554">MultiMatchPrefix(Table_Data[[#This Row],[D ID]],Table_Mappings[Data ID],0,"",TRUE,";
")</f>
        <v/>
      </c>
    </row>
    <row r="555" spans="1:14" x14ac:dyDescent="0.25">
      <c r="A555" s="20" t="s">
        <v>1621</v>
      </c>
      <c r="B555" s="11" t="s">
        <v>643</v>
      </c>
      <c r="C555" s="6" t="s">
        <v>1608</v>
      </c>
      <c r="D555" s="6" t="s">
        <v>1616</v>
      </c>
      <c r="E555" s="6" t="s">
        <v>1622</v>
      </c>
      <c r="F555" s="6" t="s">
        <v>81</v>
      </c>
      <c r="G555" s="15" t="str" cm="1">
        <f t="array" ref="G555">MultiMatchPrefix(Table_Data[[#This Row],[D ID]],Table_Mappings[Data ID],0,"",TRUE,";
")</f>
        <v/>
      </c>
    </row>
    <row r="556" spans="1:14" x14ac:dyDescent="0.25">
      <c r="A556" s="20" t="s">
        <v>1623</v>
      </c>
      <c r="B556" s="11" t="s">
        <v>643</v>
      </c>
      <c r="C556" s="6" t="s">
        <v>1608</v>
      </c>
      <c r="D556" s="6" t="s">
        <v>1616</v>
      </c>
      <c r="E556" s="6" t="s">
        <v>1624</v>
      </c>
      <c r="F556" s="6" t="s">
        <v>81</v>
      </c>
      <c r="G556" s="15" t="str" cm="1">
        <f t="array" ref="G556">MultiMatchPrefix(Table_Data[[#This Row],[D ID]],Table_Mappings[Data ID],0,"",TRUE,";
")</f>
        <v/>
      </c>
    </row>
    <row r="557" spans="1:14" x14ac:dyDescent="0.25">
      <c r="A557" s="20" t="s">
        <v>1625</v>
      </c>
      <c r="B557" s="11" t="s">
        <v>640</v>
      </c>
      <c r="C557" s="6" t="s">
        <v>1608</v>
      </c>
      <c r="D557" s="6" t="s">
        <v>1561</v>
      </c>
      <c r="E557" s="17"/>
      <c r="F557" s="6" t="s">
        <v>81</v>
      </c>
      <c r="G557" s="15" t="str" cm="1">
        <f t="array" ref="G557">MultiMatchPrefix(Table_Data[[#This Row],[D ID]],Table_Mappings[Data ID],0,"",TRUE,";
")</f>
        <v/>
      </c>
    </row>
    <row r="558" spans="1:14" x14ac:dyDescent="0.25">
      <c r="A558" s="20" t="s">
        <v>1626</v>
      </c>
      <c r="B558" s="11" t="s">
        <v>643</v>
      </c>
      <c r="C558" s="6" t="s">
        <v>1608</v>
      </c>
      <c r="D558" s="6" t="s">
        <v>1561</v>
      </c>
      <c r="E558" s="6" t="s">
        <v>1627</v>
      </c>
      <c r="F558" s="6" t="s">
        <v>81</v>
      </c>
      <c r="G558" s="15" t="str" cm="1">
        <f t="array" ref="G558">MultiMatchPrefix(Table_Data[[#This Row],[D ID]],Table_Mappings[Data ID],0,"",TRUE,";
")</f>
        <v/>
      </c>
    </row>
    <row r="559" spans="1:14" x14ac:dyDescent="0.25">
      <c r="A559" s="20" t="s">
        <v>1628</v>
      </c>
      <c r="B559" s="11" t="s">
        <v>643</v>
      </c>
      <c r="C559" s="6" t="s">
        <v>1608</v>
      </c>
      <c r="D559" s="6" t="s">
        <v>1561</v>
      </c>
      <c r="E559" s="6" t="s">
        <v>1495</v>
      </c>
      <c r="F559" s="6" t="s">
        <v>81</v>
      </c>
      <c r="G559" s="15" t="str" cm="1">
        <f t="array" ref="G559">MultiMatchPrefix(Table_Data[[#This Row],[D ID]],Table_Mappings[Data ID],0,"",TRUE,";
")</f>
        <v/>
      </c>
    </row>
    <row r="560" spans="1:14" x14ac:dyDescent="0.25">
      <c r="A560" s="20" t="s">
        <v>1629</v>
      </c>
      <c r="B560" s="11" t="s">
        <v>643</v>
      </c>
      <c r="C560" s="6" t="s">
        <v>1608</v>
      </c>
      <c r="D560" s="6" t="s">
        <v>1561</v>
      </c>
      <c r="E560" s="6" t="s">
        <v>1497</v>
      </c>
      <c r="F560" s="6" t="s">
        <v>81</v>
      </c>
      <c r="G560" s="15" t="str" cm="1">
        <f t="array" ref="G560">MultiMatchPrefix(Table_Data[[#This Row],[D ID]],Table_Mappings[Data ID],0,"",TRUE,";
")</f>
        <v/>
      </c>
    </row>
    <row r="561" spans="1:14" x14ac:dyDescent="0.25">
      <c r="A561" s="20" t="s">
        <v>1630</v>
      </c>
      <c r="B561" s="11" t="s">
        <v>643</v>
      </c>
      <c r="C561" s="6" t="s">
        <v>1608</v>
      </c>
      <c r="D561" s="6" t="s">
        <v>1561</v>
      </c>
      <c r="E561" s="6" t="s">
        <v>1631</v>
      </c>
      <c r="F561" s="6" t="s">
        <v>81</v>
      </c>
      <c r="G561" s="15" t="str" cm="1">
        <f t="array" ref="G561">MultiMatchPrefix(Table_Data[[#This Row],[D ID]],Table_Mappings[Data ID],0,"",TRUE,";
")</f>
        <v/>
      </c>
    </row>
    <row r="562" spans="1:14" x14ac:dyDescent="0.25">
      <c r="A562" s="20" t="s">
        <v>1632</v>
      </c>
      <c r="B562" s="11" t="s">
        <v>643</v>
      </c>
      <c r="C562" s="6" t="s">
        <v>1608</v>
      </c>
      <c r="D562" s="6" t="s">
        <v>1561</v>
      </c>
      <c r="E562" s="6" t="s">
        <v>1633</v>
      </c>
      <c r="F562" s="6" t="s">
        <v>81</v>
      </c>
      <c r="G562" s="15" t="str" cm="1">
        <f t="array" ref="G562">MultiMatchPrefix(Table_Data[[#This Row],[D ID]],Table_Mappings[Data ID],0,"",TRUE,";
")</f>
        <v/>
      </c>
    </row>
    <row r="563" spans="1:14" x14ac:dyDescent="0.25">
      <c r="A563" s="20" t="s">
        <v>1634</v>
      </c>
      <c r="B563" s="11" t="s">
        <v>643</v>
      </c>
      <c r="C563" s="6" t="s">
        <v>1608</v>
      </c>
      <c r="D563" s="6" t="s">
        <v>1561</v>
      </c>
      <c r="E563" s="6" t="s">
        <v>1522</v>
      </c>
      <c r="F563" s="6" t="s">
        <v>81</v>
      </c>
      <c r="G563" s="15" t="str" cm="1">
        <f t="array" ref="G563">MultiMatchPrefix(Table_Data[[#This Row],[D ID]],Table_Mappings[Data ID],0,"",TRUE,";
")</f>
        <v/>
      </c>
    </row>
    <row r="564" spans="1:14" ht="25" x14ac:dyDescent="0.25">
      <c r="A564" s="20" t="s">
        <v>488</v>
      </c>
      <c r="B564" s="11" t="s">
        <v>79</v>
      </c>
      <c r="C564" s="6" t="s">
        <v>1635</v>
      </c>
      <c r="D564" s="17"/>
      <c r="E564" s="17"/>
      <c r="F564" s="6" t="s">
        <v>1472</v>
      </c>
      <c r="G564" s="15" t="str" cm="1">
        <f t="array" ref="G564">MultiMatchPrefix(Table_Data[[#This Row],[D ID]],Table_Mappings[Data ID],0,"",TRUE,";
")</f>
        <v>03.08 Outgoing goods or kits</v>
      </c>
    </row>
    <row r="565" spans="1:14" x14ac:dyDescent="0.25">
      <c r="A565" s="20" t="s">
        <v>1636</v>
      </c>
      <c r="B565" s="11" t="s">
        <v>640</v>
      </c>
      <c r="C565" s="6" t="s">
        <v>1635</v>
      </c>
      <c r="D565" s="6" t="s">
        <v>1548</v>
      </c>
      <c r="E565" s="17"/>
      <c r="F565" s="6" t="s">
        <v>81</v>
      </c>
      <c r="G565" s="15" t="str" cm="1">
        <f t="array" ref="G565">MultiMatchPrefix(Table_Data[[#This Row],[D ID]],Table_Mappings[Data ID],0,"",TRUE,";
")</f>
        <v/>
      </c>
    </row>
    <row r="566" spans="1:14" x14ac:dyDescent="0.25">
      <c r="A566" s="20" t="s">
        <v>1637</v>
      </c>
      <c r="B566" s="11" t="s">
        <v>643</v>
      </c>
      <c r="C566" s="6" t="s">
        <v>1635</v>
      </c>
      <c r="D566" s="6" t="s">
        <v>1548</v>
      </c>
      <c r="E566" s="6" t="s">
        <v>1550</v>
      </c>
      <c r="F566" s="6" t="s">
        <v>81</v>
      </c>
      <c r="G566" s="15" t="str" cm="1">
        <f t="array" ref="G566">MultiMatchPrefix(Table_Data[[#This Row],[D ID]],Table_Mappings[Data ID],0,"",TRUE,";
")</f>
        <v/>
      </c>
    </row>
    <row r="567" spans="1:14" ht="13" x14ac:dyDescent="0.25">
      <c r="A567" s="20" t="s">
        <v>1638</v>
      </c>
      <c r="B567" s="11" t="s">
        <v>643</v>
      </c>
      <c r="C567" s="153" t="s">
        <v>1635</v>
      </c>
      <c r="D567" s="153" t="s">
        <v>1548</v>
      </c>
      <c r="E567" s="153" t="s">
        <v>694</v>
      </c>
      <c r="F567" s="6" t="s">
        <v>692</v>
      </c>
      <c r="G567" s="15" t="str" cm="1">
        <f t="array" ref="G567">MultiMatchPrefix(Table_Data[[#This Row],[D ID]],Table_Mappings[Data ID],0,"",TRUE,";
")</f>
        <v/>
      </c>
      <c r="I567" s="19" t="s">
        <v>2632</v>
      </c>
      <c r="M567" s="19" t="s">
        <v>2673</v>
      </c>
      <c r="N567" s="181">
        <v>100</v>
      </c>
    </row>
    <row r="568" spans="1:14" x14ac:dyDescent="0.25">
      <c r="A568" s="20" t="s">
        <v>1639</v>
      </c>
      <c r="B568" s="11" t="s">
        <v>640</v>
      </c>
      <c r="C568" s="6" t="s">
        <v>1635</v>
      </c>
      <c r="D568" s="6" t="s">
        <v>1583</v>
      </c>
      <c r="E568" s="17"/>
      <c r="F568" s="6" t="s">
        <v>81</v>
      </c>
      <c r="G568" s="15" t="str" cm="1">
        <f t="array" ref="G568">MultiMatchPrefix(Table_Data[[#This Row],[D ID]],Table_Mappings[Data ID],0,"",TRUE,";
")</f>
        <v/>
      </c>
    </row>
    <row r="569" spans="1:14" x14ac:dyDescent="0.25">
      <c r="A569" s="20" t="s">
        <v>1640</v>
      </c>
      <c r="B569" s="11" t="s">
        <v>643</v>
      </c>
      <c r="C569" s="6" t="s">
        <v>1635</v>
      </c>
      <c r="D569" s="6" t="s">
        <v>1583</v>
      </c>
      <c r="E569" s="6" t="s">
        <v>1555</v>
      </c>
      <c r="F569" s="6" t="s">
        <v>81</v>
      </c>
      <c r="G569" s="15" t="str" cm="1">
        <f t="array" ref="G569">MultiMatchPrefix(Table_Data[[#This Row],[D ID]],Table_Mappings[Data ID],0,"",TRUE,";
")</f>
        <v/>
      </c>
    </row>
    <row r="570" spans="1:14" ht="13" x14ac:dyDescent="0.25">
      <c r="A570" s="20" t="s">
        <v>1641</v>
      </c>
      <c r="B570" s="11" t="s">
        <v>643</v>
      </c>
      <c r="C570" s="153" t="s">
        <v>1635</v>
      </c>
      <c r="D570" s="153" t="s">
        <v>1583</v>
      </c>
      <c r="E570" s="153" t="s">
        <v>694</v>
      </c>
      <c r="F570" s="6" t="s">
        <v>692</v>
      </c>
      <c r="G570" s="15" t="str" cm="1">
        <f t="array" ref="G570">MultiMatchPrefix(Table_Data[[#This Row],[D ID]],Table_Mappings[Data ID],0,"",TRUE,";
")</f>
        <v/>
      </c>
    </row>
    <row r="571" spans="1:14" x14ac:dyDescent="0.25">
      <c r="A571" s="20" t="s">
        <v>1642</v>
      </c>
      <c r="B571" s="11" t="s">
        <v>640</v>
      </c>
      <c r="C571" s="6" t="s">
        <v>1635</v>
      </c>
      <c r="D571" s="6" t="s">
        <v>1643</v>
      </c>
      <c r="E571" s="17"/>
      <c r="F571" s="6" t="s">
        <v>81</v>
      </c>
      <c r="G571" s="15" t="str" cm="1">
        <f t="array" ref="G571">MultiMatchPrefix(Table_Data[[#This Row],[D ID]],Table_Mappings[Data ID],0,"",TRUE,";
")</f>
        <v/>
      </c>
    </row>
    <row r="572" spans="1:14" x14ac:dyDescent="0.25">
      <c r="A572" s="20" t="s">
        <v>1644</v>
      </c>
      <c r="B572" s="11" t="s">
        <v>643</v>
      </c>
      <c r="C572" s="6" t="s">
        <v>1635</v>
      </c>
      <c r="D572" s="6" t="s">
        <v>1643</v>
      </c>
      <c r="E572" s="6" t="s">
        <v>1645</v>
      </c>
      <c r="F572" s="6" t="s">
        <v>81</v>
      </c>
      <c r="G572" s="15" t="str" cm="1">
        <f t="array" ref="G572">MultiMatchPrefix(Table_Data[[#This Row],[D ID]],Table_Mappings[Data ID],0,"",TRUE,";
")</f>
        <v/>
      </c>
    </row>
    <row r="573" spans="1:14" x14ac:dyDescent="0.25">
      <c r="A573" s="20" t="s">
        <v>1646</v>
      </c>
      <c r="B573" s="11" t="s">
        <v>643</v>
      </c>
      <c r="C573" s="6" t="s">
        <v>1635</v>
      </c>
      <c r="D573" s="6" t="s">
        <v>1643</v>
      </c>
      <c r="E573" s="6" t="s">
        <v>1647</v>
      </c>
      <c r="F573" s="6" t="s">
        <v>81</v>
      </c>
      <c r="G573" s="15" t="str" cm="1">
        <f t="array" ref="G573">MultiMatchPrefix(Table_Data[[#This Row],[D ID]],Table_Mappings[Data ID],0,"",TRUE,";
")</f>
        <v/>
      </c>
    </row>
    <row r="574" spans="1:14" x14ac:dyDescent="0.25">
      <c r="A574" s="20" t="s">
        <v>1648</v>
      </c>
      <c r="B574" s="11" t="s">
        <v>643</v>
      </c>
      <c r="C574" s="6" t="s">
        <v>1635</v>
      </c>
      <c r="D574" s="6" t="s">
        <v>1643</v>
      </c>
      <c r="E574" s="6" t="s">
        <v>1622</v>
      </c>
      <c r="F574" s="6" t="s">
        <v>81</v>
      </c>
      <c r="G574" s="15" t="str" cm="1">
        <f t="array" ref="G574">MultiMatchPrefix(Table_Data[[#This Row],[D ID]],Table_Mappings[Data ID],0,"",TRUE,";
")</f>
        <v/>
      </c>
    </row>
    <row r="575" spans="1:14" x14ac:dyDescent="0.25">
      <c r="A575" s="20" t="s">
        <v>1649</v>
      </c>
      <c r="B575" s="11" t="s">
        <v>643</v>
      </c>
      <c r="C575" s="6" t="s">
        <v>1635</v>
      </c>
      <c r="D575" s="6" t="s">
        <v>1643</v>
      </c>
      <c r="E575" s="6" t="s">
        <v>1624</v>
      </c>
      <c r="F575" s="6" t="s">
        <v>81</v>
      </c>
      <c r="G575" s="15" t="str" cm="1">
        <f t="array" ref="G575">MultiMatchPrefix(Table_Data[[#This Row],[D ID]],Table_Mappings[Data ID],0,"",TRUE,";
")</f>
        <v/>
      </c>
    </row>
    <row r="576" spans="1:14" x14ac:dyDescent="0.25">
      <c r="A576" s="20" t="s">
        <v>1650</v>
      </c>
      <c r="B576" s="11" t="s">
        <v>640</v>
      </c>
      <c r="C576" s="6" t="s">
        <v>1635</v>
      </c>
      <c r="D576" s="6" t="s">
        <v>1561</v>
      </c>
      <c r="E576" s="17"/>
      <c r="F576" s="6" t="s">
        <v>81</v>
      </c>
      <c r="G576" s="15" t="str" cm="1">
        <f t="array" ref="G576">MultiMatchPrefix(Table_Data[[#This Row],[D ID]],Table_Mappings[Data ID],0,"",TRUE,";
")</f>
        <v/>
      </c>
    </row>
    <row r="577" spans="1:14" x14ac:dyDescent="0.25">
      <c r="A577" s="20" t="s">
        <v>1651</v>
      </c>
      <c r="B577" s="11" t="s">
        <v>643</v>
      </c>
      <c r="C577" s="6" t="s">
        <v>1635</v>
      </c>
      <c r="D577" s="6" t="s">
        <v>1561</v>
      </c>
      <c r="E577" s="6" t="s">
        <v>1627</v>
      </c>
      <c r="F577" s="6" t="s">
        <v>81</v>
      </c>
      <c r="G577" s="15" t="str" cm="1">
        <f t="array" ref="G577">MultiMatchPrefix(Table_Data[[#This Row],[D ID]],Table_Mappings[Data ID],0,"",TRUE,";
")</f>
        <v/>
      </c>
    </row>
    <row r="578" spans="1:14" x14ac:dyDescent="0.25">
      <c r="A578" s="20" t="s">
        <v>1652</v>
      </c>
      <c r="B578" s="11" t="s">
        <v>643</v>
      </c>
      <c r="C578" s="6" t="s">
        <v>1635</v>
      </c>
      <c r="D578" s="6" t="s">
        <v>1561</v>
      </c>
      <c r="E578" s="6" t="s">
        <v>1495</v>
      </c>
      <c r="F578" s="6" t="s">
        <v>81</v>
      </c>
      <c r="G578" s="15" t="str" cm="1">
        <f t="array" ref="G578">MultiMatchPrefix(Table_Data[[#This Row],[D ID]],Table_Mappings[Data ID],0,"",TRUE,";
")</f>
        <v/>
      </c>
    </row>
    <row r="579" spans="1:14" x14ac:dyDescent="0.25">
      <c r="A579" s="20" t="s">
        <v>1653</v>
      </c>
      <c r="B579" s="11" t="s">
        <v>643</v>
      </c>
      <c r="C579" s="6" t="s">
        <v>1635</v>
      </c>
      <c r="D579" s="6" t="s">
        <v>1561</v>
      </c>
      <c r="E579" s="6" t="s">
        <v>1497</v>
      </c>
      <c r="F579" s="6" t="s">
        <v>81</v>
      </c>
      <c r="G579" s="15" t="str" cm="1">
        <f t="array" ref="G579">MultiMatchPrefix(Table_Data[[#This Row],[D ID]],Table_Mappings[Data ID],0,"",TRUE,";
")</f>
        <v/>
      </c>
    </row>
    <row r="580" spans="1:14" x14ac:dyDescent="0.25">
      <c r="A580" s="20" t="s">
        <v>1654</v>
      </c>
      <c r="B580" s="11" t="s">
        <v>643</v>
      </c>
      <c r="C580" s="6" t="s">
        <v>1635</v>
      </c>
      <c r="D580" s="6" t="s">
        <v>1561</v>
      </c>
      <c r="E580" s="6" t="s">
        <v>1631</v>
      </c>
      <c r="F580" s="6" t="s">
        <v>81</v>
      </c>
      <c r="G580" s="15" t="str" cm="1">
        <f t="array" ref="G580">MultiMatchPrefix(Table_Data[[#This Row],[D ID]],Table_Mappings[Data ID],0,"",TRUE,";
")</f>
        <v/>
      </c>
    </row>
    <row r="581" spans="1:14" x14ac:dyDescent="0.25">
      <c r="A581" s="20" t="s">
        <v>1655</v>
      </c>
      <c r="B581" s="11" t="s">
        <v>643</v>
      </c>
      <c r="C581" s="6" t="s">
        <v>1635</v>
      </c>
      <c r="D581" s="6" t="s">
        <v>1561</v>
      </c>
      <c r="E581" s="6" t="s">
        <v>1633</v>
      </c>
      <c r="F581" s="6" t="s">
        <v>81</v>
      </c>
      <c r="G581" s="15" t="str" cm="1">
        <f t="array" ref="G581">MultiMatchPrefix(Table_Data[[#This Row],[D ID]],Table_Mappings[Data ID],0,"",TRUE,";
")</f>
        <v/>
      </c>
    </row>
    <row r="582" spans="1:14" x14ac:dyDescent="0.25">
      <c r="A582" s="20" t="s">
        <v>1656</v>
      </c>
      <c r="B582" s="11" t="s">
        <v>643</v>
      </c>
      <c r="C582" s="6" t="s">
        <v>1635</v>
      </c>
      <c r="D582" s="6" t="s">
        <v>1561</v>
      </c>
      <c r="E582" s="6" t="s">
        <v>1522</v>
      </c>
      <c r="F582" s="6" t="s">
        <v>81</v>
      </c>
      <c r="G582" s="15" t="str" cm="1">
        <f t="array" ref="G582">MultiMatchPrefix(Table_Data[[#This Row],[D ID]],Table_Mappings[Data ID],0,"",TRUE,";
")</f>
        <v/>
      </c>
    </row>
    <row r="583" spans="1:14" ht="25" x14ac:dyDescent="0.25">
      <c r="A583" s="20" t="s">
        <v>490</v>
      </c>
      <c r="B583" s="11" t="s">
        <v>79</v>
      </c>
      <c r="C583" s="6" t="s">
        <v>1657</v>
      </c>
      <c r="D583" s="17"/>
      <c r="E583" s="17"/>
      <c r="F583" s="6" t="s">
        <v>1658</v>
      </c>
      <c r="G583" s="15" t="str" cm="1">
        <f t="array" ref="G583">MultiMatchPrefix(Table_Data[[#This Row],[D ID]],Table_Mappings[Data ID],0,"",TRUE,";
")</f>
        <v>03.08 Outgoing goods or kits</v>
      </c>
    </row>
    <row r="584" spans="1:14" x14ac:dyDescent="0.25">
      <c r="A584" s="20" t="s">
        <v>1659</v>
      </c>
      <c r="B584" s="11" t="s">
        <v>640</v>
      </c>
      <c r="C584" s="6" t="s">
        <v>1657</v>
      </c>
      <c r="D584" s="6" t="s">
        <v>1548</v>
      </c>
      <c r="E584" s="17"/>
      <c r="F584" s="6" t="s">
        <v>81</v>
      </c>
      <c r="G584" s="15" t="str" cm="1">
        <f t="array" ref="G584">MultiMatchPrefix(Table_Data[[#This Row],[D ID]],Table_Mappings[Data ID],0,"",TRUE,";
")</f>
        <v/>
      </c>
    </row>
    <row r="585" spans="1:14" x14ac:dyDescent="0.25">
      <c r="A585" s="20" t="s">
        <v>1660</v>
      </c>
      <c r="B585" s="11" t="s">
        <v>643</v>
      </c>
      <c r="C585" s="6" t="s">
        <v>1657</v>
      </c>
      <c r="D585" s="6" t="s">
        <v>1548</v>
      </c>
      <c r="E585" s="6" t="s">
        <v>1550</v>
      </c>
      <c r="F585" s="6" t="s">
        <v>81</v>
      </c>
      <c r="G585" s="15" t="str" cm="1">
        <f t="array" ref="G585">MultiMatchPrefix(Table_Data[[#This Row],[D ID]],Table_Mappings[Data ID],0,"",TRUE,";
")</f>
        <v/>
      </c>
    </row>
    <row r="586" spans="1:14" ht="13" x14ac:dyDescent="0.25">
      <c r="A586" s="20" t="s">
        <v>1661</v>
      </c>
      <c r="B586" s="11" t="s">
        <v>643</v>
      </c>
      <c r="C586" s="153" t="s">
        <v>1657</v>
      </c>
      <c r="D586" s="153" t="s">
        <v>1548</v>
      </c>
      <c r="E586" s="153" t="s">
        <v>694</v>
      </c>
      <c r="F586" s="6" t="s">
        <v>692</v>
      </c>
      <c r="G586" s="15" t="str" cm="1">
        <f t="array" ref="G586">MultiMatchPrefix(Table_Data[[#This Row],[D ID]],Table_Mappings[Data ID],0,"",TRUE,";
")</f>
        <v/>
      </c>
      <c r="I586" s="19" t="s">
        <v>2632</v>
      </c>
      <c r="M586" s="19" t="s">
        <v>2673</v>
      </c>
      <c r="N586" s="181">
        <v>100</v>
      </c>
    </row>
    <row r="587" spans="1:14" x14ac:dyDescent="0.25">
      <c r="A587" s="20" t="s">
        <v>1662</v>
      </c>
      <c r="B587" s="11" t="s">
        <v>640</v>
      </c>
      <c r="C587" s="6" t="s">
        <v>1657</v>
      </c>
      <c r="D587" s="6" t="s">
        <v>1583</v>
      </c>
      <c r="E587" s="17"/>
      <c r="F587" s="6" t="s">
        <v>81</v>
      </c>
      <c r="G587" s="15" t="str" cm="1">
        <f t="array" ref="G587">MultiMatchPrefix(Table_Data[[#This Row],[D ID]],Table_Mappings[Data ID],0,"",TRUE,";
")</f>
        <v/>
      </c>
    </row>
    <row r="588" spans="1:14" x14ac:dyDescent="0.25">
      <c r="A588" s="20" t="s">
        <v>1663</v>
      </c>
      <c r="B588" s="11" t="s">
        <v>643</v>
      </c>
      <c r="C588" s="6" t="s">
        <v>1657</v>
      </c>
      <c r="D588" s="6" t="s">
        <v>1583</v>
      </c>
      <c r="E588" s="6" t="s">
        <v>1555</v>
      </c>
      <c r="F588" s="6" t="s">
        <v>81</v>
      </c>
      <c r="G588" s="15" t="str" cm="1">
        <f t="array" ref="G588">MultiMatchPrefix(Table_Data[[#This Row],[D ID]],Table_Mappings[Data ID],0,"",TRUE,";
")</f>
        <v/>
      </c>
    </row>
    <row r="589" spans="1:14" ht="13" x14ac:dyDescent="0.25">
      <c r="A589" s="20" t="s">
        <v>1664</v>
      </c>
      <c r="B589" s="11" t="s">
        <v>643</v>
      </c>
      <c r="C589" s="153" t="s">
        <v>1657</v>
      </c>
      <c r="D589" s="153" t="s">
        <v>1583</v>
      </c>
      <c r="E589" s="153" t="s">
        <v>694</v>
      </c>
      <c r="F589" s="6" t="s">
        <v>692</v>
      </c>
      <c r="G589" s="15" t="str" cm="1">
        <f t="array" ref="G589">MultiMatchPrefix(Table_Data[[#This Row],[D ID]],Table_Mappings[Data ID],0,"",TRUE,";
")</f>
        <v/>
      </c>
    </row>
    <row r="590" spans="1:14" x14ac:dyDescent="0.25">
      <c r="A590" s="20" t="s">
        <v>1665</v>
      </c>
      <c r="B590" s="11" t="s">
        <v>640</v>
      </c>
      <c r="C590" s="6" t="s">
        <v>1657</v>
      </c>
      <c r="D590" s="6" t="s">
        <v>1666</v>
      </c>
      <c r="E590" s="17"/>
      <c r="F590" s="6" t="s">
        <v>81</v>
      </c>
      <c r="G590" s="15" t="str" cm="1">
        <f t="array" ref="G590">MultiMatchPrefix(Table_Data[[#This Row],[D ID]],Table_Mappings[Data ID],0,"",TRUE,";
")</f>
        <v/>
      </c>
    </row>
    <row r="591" spans="1:14" x14ac:dyDescent="0.25">
      <c r="A591" s="20" t="s">
        <v>1667</v>
      </c>
      <c r="B591" s="11" t="s">
        <v>643</v>
      </c>
      <c r="C591" s="6" t="s">
        <v>1657</v>
      </c>
      <c r="D591" s="6" t="s">
        <v>1666</v>
      </c>
      <c r="E591" s="6" t="s">
        <v>1668</v>
      </c>
      <c r="F591" s="6" t="s">
        <v>81</v>
      </c>
      <c r="G591" s="15" t="str" cm="1">
        <f t="array" ref="G591">MultiMatchPrefix(Table_Data[[#This Row],[D ID]],Table_Mappings[Data ID],0,"",TRUE,";
")</f>
        <v/>
      </c>
    </row>
    <row r="592" spans="1:14" ht="13" x14ac:dyDescent="0.25">
      <c r="A592" s="20" t="s">
        <v>1669</v>
      </c>
      <c r="B592" s="11" t="s">
        <v>643</v>
      </c>
      <c r="C592" s="153" t="s">
        <v>1657</v>
      </c>
      <c r="D592" s="153" t="s">
        <v>1666</v>
      </c>
      <c r="E592" s="153" t="s">
        <v>694</v>
      </c>
      <c r="F592" s="6" t="s">
        <v>692</v>
      </c>
      <c r="G592" s="15" t="str" cm="1">
        <f t="array" ref="G592">MultiMatchPrefix(Table_Data[[#This Row],[D ID]],Table_Mappings[Data ID],0,"",TRUE,";
")</f>
        <v/>
      </c>
    </row>
    <row r="593" spans="1:14" x14ac:dyDescent="0.25">
      <c r="A593" s="20" t="s">
        <v>1670</v>
      </c>
      <c r="B593" s="11" t="s">
        <v>640</v>
      </c>
      <c r="C593" s="6" t="s">
        <v>1657</v>
      </c>
      <c r="D593" s="6" t="s">
        <v>1561</v>
      </c>
      <c r="E593" s="17"/>
      <c r="F593" s="6" t="s">
        <v>81</v>
      </c>
      <c r="G593" s="15" t="str" cm="1">
        <f t="array" ref="G593">MultiMatchPrefix(Table_Data[[#This Row],[D ID]],Table_Mappings[Data ID],0,"",TRUE,";
")</f>
        <v/>
      </c>
    </row>
    <row r="594" spans="1:14" x14ac:dyDescent="0.25">
      <c r="A594" s="20" t="s">
        <v>1671</v>
      </c>
      <c r="B594" s="11" t="s">
        <v>643</v>
      </c>
      <c r="C594" s="6" t="s">
        <v>1657</v>
      </c>
      <c r="D594" s="6" t="s">
        <v>1561</v>
      </c>
      <c r="E594" s="6" t="s">
        <v>1522</v>
      </c>
      <c r="F594" s="6" t="s">
        <v>81</v>
      </c>
      <c r="G594" s="15" t="str" cm="1">
        <f t="array" ref="G594">MultiMatchPrefix(Table_Data[[#This Row],[D ID]],Table_Mappings[Data ID],0,"",TRUE,";
")</f>
        <v/>
      </c>
    </row>
    <row r="595" spans="1:14" x14ac:dyDescent="0.25">
      <c r="A595" s="20" t="s">
        <v>1672</v>
      </c>
      <c r="B595" s="11" t="s">
        <v>643</v>
      </c>
      <c r="C595" s="6" t="s">
        <v>1657</v>
      </c>
      <c r="D595" s="6" t="s">
        <v>1561</v>
      </c>
      <c r="E595" s="6" t="s">
        <v>1673</v>
      </c>
      <c r="F595" s="6" t="s">
        <v>81</v>
      </c>
      <c r="G595" s="15" t="str" cm="1">
        <f t="array" ref="G595">MultiMatchPrefix(Table_Data[[#This Row],[D ID]],Table_Mappings[Data ID],0,"",TRUE,";
")</f>
        <v/>
      </c>
    </row>
    <row r="596" spans="1:14" x14ac:dyDescent="0.25">
      <c r="A596" s="20" t="s">
        <v>1674</v>
      </c>
      <c r="B596" s="11" t="s">
        <v>640</v>
      </c>
      <c r="C596" s="6" t="s">
        <v>1657</v>
      </c>
      <c r="D596" s="6" t="s">
        <v>1675</v>
      </c>
      <c r="E596" s="17"/>
      <c r="F596" s="6" t="s">
        <v>81</v>
      </c>
      <c r="G596" s="15" t="str" cm="1">
        <f t="array" ref="G596">MultiMatchPrefix(Table_Data[[#This Row],[D ID]],Table_Mappings[Data ID],0,"",TRUE,";
")</f>
        <v/>
      </c>
    </row>
    <row r="597" spans="1:14" x14ac:dyDescent="0.25">
      <c r="A597" s="20" t="s">
        <v>1676</v>
      </c>
      <c r="B597" s="11" t="s">
        <v>643</v>
      </c>
      <c r="C597" s="6" t="s">
        <v>1657</v>
      </c>
      <c r="D597" s="6" t="s">
        <v>1675</v>
      </c>
      <c r="E597" s="6" t="s">
        <v>1677</v>
      </c>
      <c r="F597" s="6" t="s">
        <v>81</v>
      </c>
      <c r="G597" s="15" t="str" cm="1">
        <f t="array" ref="G597">MultiMatchPrefix(Table_Data[[#This Row],[D ID]],Table_Mappings[Data ID],0,"",TRUE,";
")</f>
        <v/>
      </c>
    </row>
    <row r="598" spans="1:14" x14ac:dyDescent="0.25">
      <c r="A598" s="20" t="s">
        <v>492</v>
      </c>
      <c r="B598" s="11" t="s">
        <v>79</v>
      </c>
      <c r="C598" s="6" t="s">
        <v>1678</v>
      </c>
      <c r="D598" s="17"/>
      <c r="E598" s="17"/>
      <c r="F598" s="6" t="s">
        <v>1679</v>
      </c>
      <c r="G598" s="15" t="str" cm="1">
        <f t="array" ref="G598">MultiMatchPrefix(Table_Data[[#This Row],[D ID]],Table_Mappings[Data ID],0,"",TRUE,";
")</f>
        <v>03.08 Outgoing goods or kits</v>
      </c>
    </row>
    <row r="599" spans="1:14" x14ac:dyDescent="0.25">
      <c r="A599" s="20" t="s">
        <v>1680</v>
      </c>
      <c r="B599" s="11" t="s">
        <v>640</v>
      </c>
      <c r="C599" s="6" t="s">
        <v>1678</v>
      </c>
      <c r="D599" s="6" t="s">
        <v>1570</v>
      </c>
      <c r="E599" s="17"/>
      <c r="F599" s="6" t="s">
        <v>81</v>
      </c>
      <c r="G599" s="15" t="str" cm="1">
        <f t="array" ref="G599">MultiMatchPrefix(Table_Data[[#This Row],[D ID]],Table_Mappings[Data ID],0,"",TRUE,";
")</f>
        <v/>
      </c>
    </row>
    <row r="600" spans="1:14" x14ac:dyDescent="0.25">
      <c r="A600" s="20" t="s">
        <v>1681</v>
      </c>
      <c r="B600" s="11" t="s">
        <v>643</v>
      </c>
      <c r="C600" s="6" t="s">
        <v>1678</v>
      </c>
      <c r="D600" s="6" t="s">
        <v>1570</v>
      </c>
      <c r="E600" s="6" t="s">
        <v>1045</v>
      </c>
      <c r="F600" s="6" t="s">
        <v>1572</v>
      </c>
      <c r="G600" s="15" t="str" cm="1">
        <f t="array" ref="G600">MultiMatchPrefix(Table_Data[[#This Row],[D ID]],Table_Mappings[Data ID],0,"",TRUE,";
")</f>
        <v/>
      </c>
    </row>
    <row r="601" spans="1:14" x14ac:dyDescent="0.25">
      <c r="A601" s="20" t="s">
        <v>1682</v>
      </c>
      <c r="B601" s="11" t="s">
        <v>643</v>
      </c>
      <c r="C601" s="6" t="s">
        <v>1678</v>
      </c>
      <c r="D601" s="6" t="s">
        <v>1570</v>
      </c>
      <c r="E601" s="6" t="s">
        <v>1683</v>
      </c>
      <c r="F601" s="6" t="s">
        <v>1684</v>
      </c>
      <c r="G601" s="15" t="str" cm="1">
        <f t="array" ref="G601">MultiMatchPrefix(Table_Data[[#This Row],[D ID]],Table_Mappings[Data ID],0,"",TRUE,";
")</f>
        <v/>
      </c>
    </row>
    <row r="602" spans="1:14" x14ac:dyDescent="0.25">
      <c r="A602" s="20" t="s">
        <v>1685</v>
      </c>
      <c r="B602" s="11" t="s">
        <v>643</v>
      </c>
      <c r="C602" s="6" t="s">
        <v>1678</v>
      </c>
      <c r="D602" s="6" t="s">
        <v>1570</v>
      </c>
      <c r="E602" s="6" t="s">
        <v>1686</v>
      </c>
      <c r="F602" s="6" t="s">
        <v>1687</v>
      </c>
      <c r="G602" s="15" t="str" cm="1">
        <f t="array" ref="G602">MultiMatchPrefix(Table_Data[[#This Row],[D ID]],Table_Mappings[Data ID],0,"",TRUE,";
")</f>
        <v/>
      </c>
    </row>
    <row r="603" spans="1:14" x14ac:dyDescent="0.25">
      <c r="A603" s="20" t="s">
        <v>1688</v>
      </c>
      <c r="B603" s="11" t="s">
        <v>643</v>
      </c>
      <c r="C603" s="6" t="s">
        <v>1678</v>
      </c>
      <c r="D603" s="6" t="s">
        <v>1570</v>
      </c>
      <c r="E603" s="6" t="s">
        <v>1689</v>
      </c>
      <c r="F603" s="6" t="s">
        <v>1690</v>
      </c>
      <c r="G603" s="15" t="str" cm="1">
        <f t="array" ref="G603">MultiMatchPrefix(Table_Data[[#This Row],[D ID]],Table_Mappings[Data ID],0,"",TRUE,";
")</f>
        <v/>
      </c>
    </row>
    <row r="604" spans="1:14" x14ac:dyDescent="0.25">
      <c r="A604" s="20" t="s">
        <v>1691</v>
      </c>
      <c r="B604" s="11" t="s">
        <v>640</v>
      </c>
      <c r="C604" s="6" t="s">
        <v>1678</v>
      </c>
      <c r="D604" s="6" t="s">
        <v>733</v>
      </c>
      <c r="E604" s="17"/>
      <c r="F604" s="6" t="s">
        <v>81</v>
      </c>
      <c r="G604" s="15" t="str" cm="1">
        <f t="array" ref="G604">MultiMatchPrefix(Table_Data[[#This Row],[D ID]],Table_Mappings[Data ID],0,"",TRUE,";
")</f>
        <v/>
      </c>
      <c r="I604" s="19" t="s">
        <v>2632</v>
      </c>
      <c r="K604" s="19" t="s">
        <v>715</v>
      </c>
      <c r="L604" s="19" t="s">
        <v>2612</v>
      </c>
      <c r="N604" s="181">
        <v>100</v>
      </c>
    </row>
    <row r="605" spans="1:14" ht="13" x14ac:dyDescent="0.25">
      <c r="A605" s="20" t="s">
        <v>1692</v>
      </c>
      <c r="B605" s="11" t="s">
        <v>643</v>
      </c>
      <c r="C605" s="153" t="s">
        <v>1678</v>
      </c>
      <c r="D605" s="153" t="s">
        <v>733</v>
      </c>
      <c r="E605" s="153" t="s">
        <v>694</v>
      </c>
      <c r="F605" s="6" t="s">
        <v>692</v>
      </c>
      <c r="G605" s="15" t="str" cm="1">
        <f t="array" ref="G605">MultiMatchPrefix(Table_Data[[#This Row],[D ID]],Table_Mappings[Data ID],0,"",TRUE,";
")</f>
        <v/>
      </c>
      <c r="I605" s="19" t="s">
        <v>2632</v>
      </c>
      <c r="M605" s="19" t="s">
        <v>2673</v>
      </c>
      <c r="N605" s="181">
        <v>100</v>
      </c>
    </row>
    <row r="606" spans="1:14" x14ac:dyDescent="0.25">
      <c r="A606" s="20" t="s">
        <v>1693</v>
      </c>
      <c r="B606" s="11" t="s">
        <v>640</v>
      </c>
      <c r="C606" s="6" t="s">
        <v>1678</v>
      </c>
      <c r="D606" s="6" t="s">
        <v>932</v>
      </c>
      <c r="E606" s="17"/>
      <c r="F606" s="6" t="s">
        <v>81</v>
      </c>
      <c r="G606" s="15" t="str" cm="1">
        <f t="array" ref="G606">MultiMatchPrefix(Table_Data[[#This Row],[D ID]],Table_Mappings[Data ID],0,"",TRUE,";
")</f>
        <v/>
      </c>
      <c r="I606" s="19" t="s">
        <v>2632</v>
      </c>
      <c r="K606" s="19" t="s">
        <v>715</v>
      </c>
      <c r="L606" s="19" t="s">
        <v>2612</v>
      </c>
      <c r="N606" s="181">
        <v>100</v>
      </c>
    </row>
    <row r="607" spans="1:14" ht="13" x14ac:dyDescent="0.25">
      <c r="A607" s="20" t="s">
        <v>1694</v>
      </c>
      <c r="B607" s="11" t="s">
        <v>643</v>
      </c>
      <c r="C607" s="153" t="s">
        <v>1678</v>
      </c>
      <c r="D607" s="153" t="s">
        <v>932</v>
      </c>
      <c r="E607" s="153" t="s">
        <v>694</v>
      </c>
      <c r="F607" s="6" t="s">
        <v>692</v>
      </c>
      <c r="G607" s="15" t="str" cm="1">
        <f t="array" ref="G607">MultiMatchPrefix(Table_Data[[#This Row],[D ID]],Table_Mappings[Data ID],0,"",TRUE,";
")</f>
        <v/>
      </c>
      <c r="I607" s="19" t="s">
        <v>2632</v>
      </c>
      <c r="M607" s="19" t="s">
        <v>2673</v>
      </c>
      <c r="N607" s="181">
        <v>100</v>
      </c>
    </row>
    <row r="608" spans="1:14" x14ac:dyDescent="0.25">
      <c r="A608" s="20" t="s">
        <v>1695</v>
      </c>
      <c r="B608" s="11" t="s">
        <v>640</v>
      </c>
      <c r="C608" s="6" t="s">
        <v>1678</v>
      </c>
      <c r="D608" s="6" t="s">
        <v>1587</v>
      </c>
      <c r="E608" s="17"/>
      <c r="F608" s="6" t="s">
        <v>81</v>
      </c>
      <c r="G608" s="15" t="str" cm="1">
        <f t="array" ref="G608">MultiMatchPrefix(Table_Data[[#This Row],[D ID]],Table_Mappings[Data ID],0,"",TRUE,";
")</f>
        <v/>
      </c>
    </row>
    <row r="609" spans="1:7" x14ac:dyDescent="0.25">
      <c r="A609" s="20" t="s">
        <v>1696</v>
      </c>
      <c r="B609" s="11" t="s">
        <v>643</v>
      </c>
      <c r="C609" s="6" t="s">
        <v>1678</v>
      </c>
      <c r="D609" s="6" t="s">
        <v>1587</v>
      </c>
      <c r="E609" s="6" t="s">
        <v>644</v>
      </c>
      <c r="F609" s="6" t="s">
        <v>1589</v>
      </c>
      <c r="G609" s="15" t="str" cm="1">
        <f t="array" ref="G609">MultiMatchPrefix(Table_Data[[#This Row],[D ID]],Table_Mappings[Data ID],0,"",TRUE,";
")</f>
        <v/>
      </c>
    </row>
    <row r="610" spans="1:7" x14ac:dyDescent="0.25">
      <c r="A610" s="20" t="s">
        <v>1697</v>
      </c>
      <c r="B610" s="11" t="s">
        <v>643</v>
      </c>
      <c r="C610" s="6" t="s">
        <v>1678</v>
      </c>
      <c r="D610" s="6" t="s">
        <v>1587</v>
      </c>
      <c r="E610" s="6" t="s">
        <v>646</v>
      </c>
      <c r="F610" s="6" t="s">
        <v>81</v>
      </c>
      <c r="G610" s="15" t="str" cm="1">
        <f t="array" ref="G610">MultiMatchPrefix(Table_Data[[#This Row],[D ID]],Table_Mappings[Data ID],0,"",TRUE,";
")</f>
        <v/>
      </c>
    </row>
    <row r="611" spans="1:7" x14ac:dyDescent="0.25">
      <c r="A611" s="20" t="s">
        <v>1698</v>
      </c>
      <c r="B611" s="11" t="s">
        <v>643</v>
      </c>
      <c r="C611" s="6" t="s">
        <v>1678</v>
      </c>
      <c r="D611" s="6" t="s">
        <v>1587</v>
      </c>
      <c r="E611" s="6" t="s">
        <v>650</v>
      </c>
      <c r="F611" s="6" t="s">
        <v>1699</v>
      </c>
      <c r="G611" s="15" t="str" cm="1">
        <f t="array" ref="G611">MultiMatchPrefix(Table_Data[[#This Row],[D ID]],Table_Mappings[Data ID],0,"",TRUE,";
")</f>
        <v/>
      </c>
    </row>
    <row r="612" spans="1:7" x14ac:dyDescent="0.25">
      <c r="A612" s="20" t="s">
        <v>1700</v>
      </c>
      <c r="B612" s="11" t="s">
        <v>643</v>
      </c>
      <c r="C612" s="6" t="s">
        <v>1678</v>
      </c>
      <c r="D612" s="6" t="s">
        <v>1587</v>
      </c>
      <c r="E612" s="6" t="s">
        <v>1238</v>
      </c>
      <c r="F612" s="6" t="s">
        <v>1701</v>
      </c>
      <c r="G612" s="15" t="str" cm="1">
        <f t="array" ref="G612">MultiMatchPrefix(Table_Data[[#This Row],[D ID]],Table_Mappings[Data ID],0,"",TRUE,";
")</f>
        <v/>
      </c>
    </row>
    <row r="613" spans="1:7" x14ac:dyDescent="0.25">
      <c r="A613" s="20" t="s">
        <v>1702</v>
      </c>
      <c r="B613" s="11" t="s">
        <v>643</v>
      </c>
      <c r="C613" s="6" t="s">
        <v>1678</v>
      </c>
      <c r="D613" s="6" t="s">
        <v>1587</v>
      </c>
      <c r="E613" s="6" t="s">
        <v>1703</v>
      </c>
      <c r="F613" s="6" t="s">
        <v>1704</v>
      </c>
      <c r="G613" s="15" t="str" cm="1">
        <f t="array" ref="G613">MultiMatchPrefix(Table_Data[[#This Row],[D ID]],Table_Mappings[Data ID],0,"",TRUE,";
")</f>
        <v/>
      </c>
    </row>
    <row r="614" spans="1:7" ht="37.5" x14ac:dyDescent="0.25">
      <c r="A614" s="20" t="s">
        <v>494</v>
      </c>
      <c r="B614" s="11" t="s">
        <v>79</v>
      </c>
      <c r="C614" s="6" t="s">
        <v>1705</v>
      </c>
      <c r="D614" s="17"/>
      <c r="E614" s="17"/>
      <c r="F614" s="6" t="s">
        <v>1706</v>
      </c>
      <c r="G614" s="15" t="str" cm="1">
        <f t="array" ref="G614">MultiMatchPrefix(Table_Data[[#This Row],[D ID]],Table_Mappings[Data ID],0,"",TRUE,";
")</f>
        <v>03.08 Outgoing goods or kits</v>
      </c>
    </row>
    <row r="615" spans="1:7" x14ac:dyDescent="0.25">
      <c r="A615" s="20" t="s">
        <v>1707</v>
      </c>
      <c r="B615" s="11" t="s">
        <v>640</v>
      </c>
      <c r="C615" s="6" t="s">
        <v>1705</v>
      </c>
      <c r="D615" s="6" t="s">
        <v>1708</v>
      </c>
      <c r="E615" s="17"/>
      <c r="F615" s="6" t="s">
        <v>81</v>
      </c>
      <c r="G615" s="15" t="str" cm="1">
        <f t="array" ref="G615">MultiMatchPrefix(Table_Data[[#This Row],[D ID]],Table_Mappings[Data ID],0,"",TRUE,";
")</f>
        <v/>
      </c>
    </row>
    <row r="616" spans="1:7" x14ac:dyDescent="0.25">
      <c r="A616" s="20" t="s">
        <v>1709</v>
      </c>
      <c r="B616" s="11" t="s">
        <v>643</v>
      </c>
      <c r="C616" s="6" t="s">
        <v>1705</v>
      </c>
      <c r="D616" s="6" t="s">
        <v>1708</v>
      </c>
      <c r="E616" s="6" t="s">
        <v>1710</v>
      </c>
      <c r="F616" s="6" t="s">
        <v>81</v>
      </c>
      <c r="G616" s="15" t="str" cm="1">
        <f t="array" ref="G616">MultiMatchPrefix(Table_Data[[#This Row],[D ID]],Table_Mappings[Data ID],0,"",TRUE,";
")</f>
        <v/>
      </c>
    </row>
    <row r="617" spans="1:7" x14ac:dyDescent="0.25">
      <c r="A617" s="20" t="s">
        <v>1711</v>
      </c>
      <c r="B617" s="11" t="s">
        <v>643</v>
      </c>
      <c r="C617" s="6" t="s">
        <v>1705</v>
      </c>
      <c r="D617" s="6" t="s">
        <v>1708</v>
      </c>
      <c r="E617" s="6" t="s">
        <v>1712</v>
      </c>
      <c r="F617" s="6" t="s">
        <v>81</v>
      </c>
      <c r="G617" s="15" t="str" cm="1">
        <f t="array" ref="G617">MultiMatchPrefix(Table_Data[[#This Row],[D ID]],Table_Mappings[Data ID],0,"",TRUE,";
")</f>
        <v/>
      </c>
    </row>
    <row r="618" spans="1:7" x14ac:dyDescent="0.25">
      <c r="A618" s="20" t="s">
        <v>1713</v>
      </c>
      <c r="B618" s="11" t="s">
        <v>643</v>
      </c>
      <c r="C618" s="6" t="s">
        <v>1705</v>
      </c>
      <c r="D618" s="6" t="s">
        <v>1708</v>
      </c>
      <c r="E618" s="6" t="s">
        <v>1714</v>
      </c>
      <c r="F618" s="6" t="s">
        <v>81</v>
      </c>
      <c r="G618" s="15" t="str" cm="1">
        <f t="array" ref="G618">MultiMatchPrefix(Table_Data[[#This Row],[D ID]],Table_Mappings[Data ID],0,"",TRUE,";
")</f>
        <v/>
      </c>
    </row>
    <row r="619" spans="1:7" x14ac:dyDescent="0.25">
      <c r="A619" s="20" t="s">
        <v>1715</v>
      </c>
      <c r="B619" s="11" t="s">
        <v>643</v>
      </c>
      <c r="C619" s="6" t="s">
        <v>1705</v>
      </c>
      <c r="D619" s="6" t="s">
        <v>1708</v>
      </c>
      <c r="E619" s="6" t="s">
        <v>1716</v>
      </c>
      <c r="F619" s="6" t="s">
        <v>81</v>
      </c>
      <c r="G619" s="15" t="str" cm="1">
        <f t="array" ref="G619">MultiMatchPrefix(Table_Data[[#This Row],[D ID]],Table_Mappings[Data ID],0,"",TRUE,";
")</f>
        <v/>
      </c>
    </row>
    <row r="620" spans="1:7" x14ac:dyDescent="0.25">
      <c r="A620" s="20" t="s">
        <v>1717</v>
      </c>
      <c r="B620" s="11" t="s">
        <v>643</v>
      </c>
      <c r="C620" s="6" t="s">
        <v>1705</v>
      </c>
      <c r="D620" s="6" t="s">
        <v>1708</v>
      </c>
      <c r="E620" s="6" t="s">
        <v>1718</v>
      </c>
      <c r="F620" s="6" t="s">
        <v>81</v>
      </c>
      <c r="G620" s="15" t="str" cm="1">
        <f t="array" ref="G620">MultiMatchPrefix(Table_Data[[#This Row],[D ID]],Table_Mappings[Data ID],0,"",TRUE,";
")</f>
        <v/>
      </c>
    </row>
    <row r="621" spans="1:7" x14ac:dyDescent="0.25">
      <c r="A621" s="20" t="s">
        <v>1719</v>
      </c>
      <c r="B621" s="11" t="s">
        <v>643</v>
      </c>
      <c r="C621" s="6" t="s">
        <v>1705</v>
      </c>
      <c r="D621" s="6" t="s">
        <v>1708</v>
      </c>
      <c r="E621" s="6" t="s">
        <v>1577</v>
      </c>
      <c r="F621" s="6" t="s">
        <v>81</v>
      </c>
      <c r="G621" s="15" t="str" cm="1">
        <f t="array" ref="G621">MultiMatchPrefix(Table_Data[[#This Row],[D ID]],Table_Mappings[Data ID],0,"",TRUE,";
")</f>
        <v/>
      </c>
    </row>
    <row r="622" spans="1:7" x14ac:dyDescent="0.25">
      <c r="A622" s="20" t="s">
        <v>1720</v>
      </c>
      <c r="B622" s="11" t="s">
        <v>643</v>
      </c>
      <c r="C622" s="6" t="s">
        <v>1705</v>
      </c>
      <c r="D622" s="6" t="s">
        <v>1708</v>
      </c>
      <c r="E622" s="6" t="s">
        <v>1555</v>
      </c>
      <c r="F622" s="6" t="s">
        <v>81</v>
      </c>
      <c r="G622" s="15" t="str" cm="1">
        <f t="array" ref="G622">MultiMatchPrefix(Table_Data[[#This Row],[D ID]],Table_Mappings[Data ID],0,"",TRUE,";
")</f>
        <v/>
      </c>
    </row>
    <row r="623" spans="1:7" x14ac:dyDescent="0.25">
      <c r="A623" s="20" t="s">
        <v>1721</v>
      </c>
      <c r="B623" s="11" t="s">
        <v>643</v>
      </c>
      <c r="C623" s="6" t="s">
        <v>1705</v>
      </c>
      <c r="D623" s="6" t="s">
        <v>1708</v>
      </c>
      <c r="E623" s="6" t="s">
        <v>1722</v>
      </c>
      <c r="F623" s="6" t="s">
        <v>81</v>
      </c>
      <c r="G623" s="15" t="str" cm="1">
        <f t="array" ref="G623">MultiMatchPrefix(Table_Data[[#This Row],[D ID]],Table_Mappings[Data ID],0,"",TRUE,";
")</f>
        <v/>
      </c>
    </row>
    <row r="624" spans="1:7" x14ac:dyDescent="0.25">
      <c r="A624" s="20" t="s">
        <v>1723</v>
      </c>
      <c r="B624" s="11" t="s">
        <v>643</v>
      </c>
      <c r="C624" s="6" t="s">
        <v>1705</v>
      </c>
      <c r="D624" s="6" t="s">
        <v>1708</v>
      </c>
      <c r="E624" s="6" t="s">
        <v>1724</v>
      </c>
      <c r="F624" s="6" t="s">
        <v>81</v>
      </c>
      <c r="G624" s="15" t="str" cm="1">
        <f t="array" ref="G624">MultiMatchPrefix(Table_Data[[#This Row],[D ID]],Table_Mappings[Data ID],0,"",TRUE,";
")</f>
        <v/>
      </c>
    </row>
    <row r="625" spans="1:14" x14ac:dyDescent="0.25">
      <c r="A625" s="20" t="s">
        <v>1725</v>
      </c>
      <c r="B625" s="11" t="s">
        <v>643</v>
      </c>
      <c r="C625" s="6" t="s">
        <v>1705</v>
      </c>
      <c r="D625" s="6" t="s">
        <v>1708</v>
      </c>
      <c r="E625" s="6" t="s">
        <v>1726</v>
      </c>
      <c r="F625" s="6" t="s">
        <v>81</v>
      </c>
      <c r="G625" s="15" t="str" cm="1">
        <f t="array" ref="G625">MultiMatchPrefix(Table_Data[[#This Row],[D ID]],Table_Mappings[Data ID],0,"",TRUE,";
")</f>
        <v/>
      </c>
    </row>
    <row r="626" spans="1:14" ht="50" x14ac:dyDescent="0.25">
      <c r="A626" s="20" t="s">
        <v>496</v>
      </c>
      <c r="B626" s="11" t="s">
        <v>79</v>
      </c>
      <c r="C626" s="6" t="s">
        <v>49</v>
      </c>
      <c r="D626" s="17"/>
      <c r="E626" s="17"/>
      <c r="F626" s="6" t="s">
        <v>1727</v>
      </c>
      <c r="G626" s="15" t="str" cm="1">
        <f t="array" ref="G626">MultiMatchPrefix(Table_Data[[#This Row],[D ID]],Table_Mappings[Data ID],0,"",TRUE,";
")</f>
        <v>03.08 Outgoing goods or kits;
03.09 Stock count;
03.10 Kits monitoring ;
03.11 Stock disposal</v>
      </c>
    </row>
    <row r="627" spans="1:14" x14ac:dyDescent="0.25">
      <c r="A627" s="20" t="s">
        <v>1728</v>
      </c>
      <c r="B627" s="11" t="s">
        <v>640</v>
      </c>
      <c r="C627" s="6" t="s">
        <v>49</v>
      </c>
      <c r="D627" s="6" t="s">
        <v>796</v>
      </c>
      <c r="E627" s="17"/>
      <c r="F627" s="6" t="s">
        <v>81</v>
      </c>
      <c r="G627" s="15" t="str" cm="1">
        <f t="array" ref="G627">MultiMatchPrefix(Table_Data[[#This Row],[D ID]],Table_Mappings[Data ID],0,"",TRUE,";
")</f>
        <v/>
      </c>
      <c r="I627" s="19" t="s">
        <v>2632</v>
      </c>
      <c r="J627" s="19" t="s">
        <v>1061</v>
      </c>
      <c r="K627" s="19" t="s">
        <v>2677</v>
      </c>
      <c r="L627" s="19" t="s">
        <v>2681</v>
      </c>
      <c r="N627" s="181" t="s">
        <v>2639</v>
      </c>
    </row>
    <row r="628" spans="1:14" x14ac:dyDescent="0.25">
      <c r="A628" s="20" t="s">
        <v>1729</v>
      </c>
      <c r="B628" s="11" t="s">
        <v>643</v>
      </c>
      <c r="C628" s="6" t="s">
        <v>49</v>
      </c>
      <c r="D628" s="6" t="s">
        <v>796</v>
      </c>
      <c r="E628" s="6" t="s">
        <v>644</v>
      </c>
      <c r="F628" s="6" t="s">
        <v>81</v>
      </c>
      <c r="G628" s="15" t="str" cm="1">
        <f t="array" ref="G628">MultiMatchPrefix(Table_Data[[#This Row],[D ID]],Table_Mappings[Data ID],0,"",TRUE,";
")</f>
        <v/>
      </c>
      <c r="I628" s="19" t="s">
        <v>2632</v>
      </c>
      <c r="J628" s="19" t="s">
        <v>1061</v>
      </c>
      <c r="K628" s="19" t="s">
        <v>2678</v>
      </c>
      <c r="L628" s="19" t="s">
        <v>2682</v>
      </c>
      <c r="N628" s="181" t="s">
        <v>2639</v>
      </c>
    </row>
    <row r="629" spans="1:14" x14ac:dyDescent="0.25">
      <c r="A629" s="20" t="s">
        <v>1730</v>
      </c>
      <c r="B629" s="11" t="s">
        <v>643</v>
      </c>
      <c r="C629" s="6" t="s">
        <v>49</v>
      </c>
      <c r="D629" s="6" t="s">
        <v>796</v>
      </c>
      <c r="E629" s="6" t="s">
        <v>679</v>
      </c>
      <c r="F629" s="6" t="s">
        <v>81</v>
      </c>
      <c r="G629" s="15" t="str" cm="1">
        <f t="array" ref="G629">MultiMatchPrefix(Table_Data[[#This Row],[D ID]],Table_Mappings[Data ID],0,"",TRUE,";
")</f>
        <v/>
      </c>
      <c r="I629" s="19" t="s">
        <v>2632</v>
      </c>
      <c r="J629" s="19" t="s">
        <v>1061</v>
      </c>
      <c r="K629" s="19" t="s">
        <v>2677</v>
      </c>
      <c r="L629" s="19" t="s">
        <v>2681</v>
      </c>
      <c r="N629" s="181" t="s">
        <v>2639</v>
      </c>
    </row>
    <row r="630" spans="1:14" x14ac:dyDescent="0.25">
      <c r="A630" s="20" t="s">
        <v>1731</v>
      </c>
      <c r="B630" s="11" t="s">
        <v>640</v>
      </c>
      <c r="C630" s="6" t="s">
        <v>49</v>
      </c>
      <c r="D630" s="6" t="s">
        <v>1330</v>
      </c>
      <c r="E630" s="17"/>
      <c r="F630" s="6" t="s">
        <v>81</v>
      </c>
      <c r="G630" s="15" t="str" cm="1">
        <f t="array" ref="G630">MultiMatchPrefix(Table_Data[[#This Row],[D ID]],Table_Mappings[Data ID],0,"",TRUE,";
")</f>
        <v/>
      </c>
    </row>
    <row r="631" spans="1:14" x14ac:dyDescent="0.25">
      <c r="A631" s="20" t="s">
        <v>1732</v>
      </c>
      <c r="B631" s="11" t="s">
        <v>643</v>
      </c>
      <c r="C631" s="6" t="s">
        <v>49</v>
      </c>
      <c r="D631" s="6" t="s">
        <v>1330</v>
      </c>
      <c r="E631" s="6" t="s">
        <v>1333</v>
      </c>
      <c r="F631" s="6" t="s">
        <v>81</v>
      </c>
      <c r="G631" s="15" t="str" cm="1">
        <f t="array" ref="G631">MultiMatchPrefix(Table_Data[[#This Row],[D ID]],Table_Mappings[Data ID],0,"",TRUE,";
")</f>
        <v/>
      </c>
    </row>
    <row r="632" spans="1:14" x14ac:dyDescent="0.25">
      <c r="A632" s="20" t="s">
        <v>1733</v>
      </c>
      <c r="B632" s="11" t="s">
        <v>643</v>
      </c>
      <c r="C632" s="6" t="s">
        <v>49</v>
      </c>
      <c r="D632" s="6" t="s">
        <v>1330</v>
      </c>
      <c r="E632" s="6" t="s">
        <v>1336</v>
      </c>
      <c r="F632" s="6" t="s">
        <v>81</v>
      </c>
      <c r="G632" s="15" t="str" cm="1">
        <f t="array" ref="G632">MultiMatchPrefix(Table_Data[[#This Row],[D ID]],Table_Mappings[Data ID],0,"",TRUE,";
")</f>
        <v/>
      </c>
    </row>
    <row r="633" spans="1:14" x14ac:dyDescent="0.25">
      <c r="A633" s="20" t="s">
        <v>1734</v>
      </c>
      <c r="B633" s="11" t="s">
        <v>643</v>
      </c>
      <c r="C633" s="6" t="s">
        <v>49</v>
      </c>
      <c r="D633" s="6" t="s">
        <v>1330</v>
      </c>
      <c r="E633" s="6" t="s">
        <v>1338</v>
      </c>
      <c r="F633" s="6" t="s">
        <v>81</v>
      </c>
      <c r="G633" s="15" t="str" cm="1">
        <f t="array" ref="G633">MultiMatchPrefix(Table_Data[[#This Row],[D ID]],Table_Mappings[Data ID],0,"",TRUE,";
")</f>
        <v/>
      </c>
    </row>
    <row r="634" spans="1:14" x14ac:dyDescent="0.25">
      <c r="A634" s="20" t="s">
        <v>1735</v>
      </c>
      <c r="B634" s="11" t="s">
        <v>643</v>
      </c>
      <c r="C634" s="6" t="s">
        <v>49</v>
      </c>
      <c r="D634" s="6" t="s">
        <v>1330</v>
      </c>
      <c r="E634" s="6" t="s">
        <v>1340</v>
      </c>
      <c r="F634" s="6" t="s">
        <v>81</v>
      </c>
      <c r="G634" s="15" t="str" cm="1">
        <f t="array" ref="G634">MultiMatchPrefix(Table_Data[[#This Row],[D ID]],Table_Mappings[Data ID],0,"",TRUE,";
")</f>
        <v/>
      </c>
    </row>
    <row r="635" spans="1:14" x14ac:dyDescent="0.25">
      <c r="A635" s="20" t="s">
        <v>1736</v>
      </c>
      <c r="B635" s="11" t="s">
        <v>640</v>
      </c>
      <c r="C635" s="6" t="s">
        <v>49</v>
      </c>
      <c r="D635" s="6" t="s">
        <v>1737</v>
      </c>
      <c r="E635" s="17"/>
      <c r="F635" s="6" t="s">
        <v>81</v>
      </c>
      <c r="G635" s="15" t="str" cm="1">
        <f t="array" ref="G635">MultiMatchPrefix(Table_Data[[#This Row],[D ID]],Table_Mappings[Data ID],0,"",TRUE,";
")</f>
        <v/>
      </c>
    </row>
    <row r="636" spans="1:14" x14ac:dyDescent="0.25">
      <c r="A636" s="20" t="s">
        <v>1738</v>
      </c>
      <c r="B636" s="11" t="s">
        <v>643</v>
      </c>
      <c r="C636" s="6" t="s">
        <v>49</v>
      </c>
      <c r="D636" s="6" t="s">
        <v>1737</v>
      </c>
      <c r="E636" s="6" t="s">
        <v>1739</v>
      </c>
      <c r="F636" s="6" t="s">
        <v>81</v>
      </c>
      <c r="G636" s="15" t="str" cm="1">
        <f t="array" ref="G636">MultiMatchPrefix(Table_Data[[#This Row],[D ID]],Table_Mappings[Data ID],0,"",TRUE,";
")</f>
        <v/>
      </c>
    </row>
    <row r="637" spans="1:14" x14ac:dyDescent="0.25">
      <c r="A637" s="20" t="s">
        <v>1740</v>
      </c>
      <c r="B637" s="11" t="s">
        <v>643</v>
      </c>
      <c r="C637" s="6" t="s">
        <v>49</v>
      </c>
      <c r="D637" s="6" t="s">
        <v>1737</v>
      </c>
      <c r="E637" s="6" t="s">
        <v>1741</v>
      </c>
      <c r="F637" s="6" t="s">
        <v>81</v>
      </c>
      <c r="G637" s="15" t="str" cm="1">
        <f t="array" ref="G637">MultiMatchPrefix(Table_Data[[#This Row],[D ID]],Table_Mappings[Data ID],0,"",TRUE,";
")</f>
        <v/>
      </c>
    </row>
    <row r="638" spans="1:14" ht="87.5" x14ac:dyDescent="0.25">
      <c r="A638" s="20" t="s">
        <v>472</v>
      </c>
      <c r="B638" s="11" t="s">
        <v>79</v>
      </c>
      <c r="C638" s="6" t="s">
        <v>70</v>
      </c>
      <c r="D638" s="17"/>
      <c r="E638" s="17"/>
      <c r="F638" s="6" t="s">
        <v>1742</v>
      </c>
      <c r="G638" s="15" t="str" cm="1">
        <f t="array" ref="G638">MultiMatchPrefix(Table_Data[[#This Row],[D ID]],Table_Mappings[Data ID],0,"",TRUE,";
")</f>
        <v xml:space="preserve">03.07 Stock transfer;
03.08 Outgoing goods or kits;
03.09 Stock count;
03.11 Stock disposal;
10.01 Donor Funding Compliance;
10.05 Donor Reporting;
10.09 Consortium Reporting </v>
      </c>
    </row>
    <row r="639" spans="1:14" x14ac:dyDescent="0.25">
      <c r="A639" s="20" t="s">
        <v>1743</v>
      </c>
      <c r="B639" s="11" t="s">
        <v>640</v>
      </c>
      <c r="C639" s="6" t="s">
        <v>70</v>
      </c>
      <c r="D639" s="6" t="s">
        <v>1744</v>
      </c>
      <c r="E639" s="17"/>
      <c r="F639" s="6" t="s">
        <v>1745</v>
      </c>
      <c r="G639" s="15" t="str" cm="1">
        <f t="array" ref="G639">MultiMatchPrefix(Table_Data[[#This Row],[D ID]],Table_Mappings[Data ID],0,"",TRUE,";
")</f>
        <v/>
      </c>
    </row>
    <row r="640" spans="1:14" x14ac:dyDescent="0.25">
      <c r="A640" s="20" t="s">
        <v>1746</v>
      </c>
      <c r="B640" s="11" t="s">
        <v>643</v>
      </c>
      <c r="C640" s="6" t="s">
        <v>70</v>
      </c>
      <c r="D640" s="6" t="s">
        <v>1744</v>
      </c>
      <c r="E640" s="6" t="s">
        <v>644</v>
      </c>
      <c r="F640" s="6" t="s">
        <v>81</v>
      </c>
      <c r="G640" s="15" t="str" cm="1">
        <f t="array" ref="G640">MultiMatchPrefix(Table_Data[[#This Row],[D ID]],Table_Mappings[Data ID],0,"",TRUE,";
")</f>
        <v/>
      </c>
    </row>
    <row r="641" spans="1:7" x14ac:dyDescent="0.25">
      <c r="A641" s="20" t="s">
        <v>1747</v>
      </c>
      <c r="B641" s="11" t="s">
        <v>643</v>
      </c>
      <c r="C641" s="6" t="s">
        <v>70</v>
      </c>
      <c r="D641" s="6" t="s">
        <v>1744</v>
      </c>
      <c r="E641" s="6" t="s">
        <v>650</v>
      </c>
      <c r="F641" s="6" t="s">
        <v>81</v>
      </c>
      <c r="G641" s="15" t="str" cm="1">
        <f t="array" ref="G641">MultiMatchPrefix(Table_Data[[#This Row],[D ID]],Table_Mappings[Data ID],0,"",TRUE,";
")</f>
        <v/>
      </c>
    </row>
    <row r="642" spans="1:7" x14ac:dyDescent="0.25">
      <c r="A642" s="20" t="s">
        <v>1748</v>
      </c>
      <c r="B642" s="11" t="s">
        <v>643</v>
      </c>
      <c r="C642" s="6" t="s">
        <v>70</v>
      </c>
      <c r="D642" s="6" t="s">
        <v>1744</v>
      </c>
      <c r="E642" s="6" t="s">
        <v>1220</v>
      </c>
      <c r="F642" s="6" t="s">
        <v>81</v>
      </c>
      <c r="G642" s="15" t="str" cm="1">
        <f t="array" ref="G642">MultiMatchPrefix(Table_Data[[#This Row],[D ID]],Table_Mappings[Data ID],0,"",TRUE,";
")</f>
        <v/>
      </c>
    </row>
    <row r="643" spans="1:7" x14ac:dyDescent="0.25">
      <c r="A643" s="20" t="s">
        <v>1749</v>
      </c>
      <c r="B643" s="11" t="s">
        <v>643</v>
      </c>
      <c r="C643" s="6" t="s">
        <v>70</v>
      </c>
      <c r="D643" s="6" t="s">
        <v>1744</v>
      </c>
      <c r="E643" s="6" t="s">
        <v>1750</v>
      </c>
      <c r="F643" s="6" t="s">
        <v>1751</v>
      </c>
      <c r="G643" s="15" t="str" cm="1">
        <f t="array" ref="G643">MultiMatchPrefix(Table_Data[[#This Row],[D ID]],Table_Mappings[Data ID],0,"",TRUE,";
")</f>
        <v/>
      </c>
    </row>
    <row r="644" spans="1:7" x14ac:dyDescent="0.25">
      <c r="A644" s="20" t="s">
        <v>1752</v>
      </c>
      <c r="B644" s="11" t="s">
        <v>643</v>
      </c>
      <c r="C644" s="6" t="s">
        <v>70</v>
      </c>
      <c r="D644" s="6" t="s">
        <v>1744</v>
      </c>
      <c r="E644" s="6" t="s">
        <v>1753</v>
      </c>
      <c r="F644" s="6" t="s">
        <v>1754</v>
      </c>
      <c r="G644" s="15" t="str" cm="1">
        <f t="array" ref="G644">MultiMatchPrefix(Table_Data[[#This Row],[D ID]],Table_Mappings[Data ID],0,"",TRUE,";
")</f>
        <v/>
      </c>
    </row>
    <row r="645" spans="1:7" ht="25" x14ac:dyDescent="0.25">
      <c r="A645" s="20" t="s">
        <v>1755</v>
      </c>
      <c r="B645" s="11" t="s">
        <v>643</v>
      </c>
      <c r="C645" s="6" t="s">
        <v>70</v>
      </c>
      <c r="D645" s="6" t="s">
        <v>1744</v>
      </c>
      <c r="E645" s="6" t="s">
        <v>1756</v>
      </c>
      <c r="F645" s="6" t="s">
        <v>1757</v>
      </c>
      <c r="G645" s="15" t="str" cm="1">
        <f t="array" ref="G645">MultiMatchPrefix(Table_Data[[#This Row],[D ID]],Table_Mappings[Data ID],0,"",TRUE,";
")</f>
        <v/>
      </c>
    </row>
    <row r="646" spans="1:7" x14ac:dyDescent="0.25">
      <c r="A646" s="20" t="s">
        <v>1758</v>
      </c>
      <c r="B646" s="11" t="s">
        <v>643</v>
      </c>
      <c r="C646" s="6" t="s">
        <v>70</v>
      </c>
      <c r="D646" s="6" t="s">
        <v>1744</v>
      </c>
      <c r="E646" s="6" t="s">
        <v>1759</v>
      </c>
      <c r="F646" s="6" t="s">
        <v>1760</v>
      </c>
      <c r="G646" s="15" t="str" cm="1">
        <f t="array" ref="G646">MultiMatchPrefix(Table_Data[[#This Row],[D ID]],Table_Mappings[Data ID],0,"",TRUE,";
")</f>
        <v/>
      </c>
    </row>
    <row r="647" spans="1:7" ht="25" x14ac:dyDescent="0.25">
      <c r="A647" s="20" t="s">
        <v>1761</v>
      </c>
      <c r="B647" s="11" t="s">
        <v>643</v>
      </c>
      <c r="C647" s="6" t="s">
        <v>70</v>
      </c>
      <c r="D647" s="6" t="s">
        <v>1744</v>
      </c>
      <c r="E647" s="6" t="s">
        <v>1762</v>
      </c>
      <c r="F647" s="6" t="s">
        <v>1763</v>
      </c>
      <c r="G647" s="15" t="str" cm="1">
        <f t="array" ref="G647">MultiMatchPrefix(Table_Data[[#This Row],[D ID]],Table_Mappings[Data ID],0,"",TRUE,";
")</f>
        <v/>
      </c>
    </row>
    <row r="648" spans="1:7" x14ac:dyDescent="0.25">
      <c r="A648" s="20" t="s">
        <v>1764</v>
      </c>
      <c r="B648" s="11" t="s">
        <v>643</v>
      </c>
      <c r="C648" s="6" t="s">
        <v>70</v>
      </c>
      <c r="D648" s="6" t="s">
        <v>1744</v>
      </c>
      <c r="E648" s="6" t="s">
        <v>1765</v>
      </c>
      <c r="F648" s="6" t="s">
        <v>1766</v>
      </c>
      <c r="G648" s="15" t="str" cm="1">
        <f t="array" ref="G648">MultiMatchPrefix(Table_Data[[#This Row],[D ID]],Table_Mappings[Data ID],0,"",TRUE,";
")</f>
        <v/>
      </c>
    </row>
    <row r="649" spans="1:7" ht="25" x14ac:dyDescent="0.25">
      <c r="A649" s="20" t="s">
        <v>1767</v>
      </c>
      <c r="B649" s="11" t="s">
        <v>643</v>
      </c>
      <c r="C649" s="6" t="s">
        <v>70</v>
      </c>
      <c r="D649" s="6" t="s">
        <v>1744</v>
      </c>
      <c r="E649" s="6" t="s">
        <v>1768</v>
      </c>
      <c r="F649" s="6" t="s">
        <v>1769</v>
      </c>
      <c r="G649" s="15" t="str" cm="1">
        <f t="array" ref="G649">MultiMatchPrefix(Table_Data[[#This Row],[D ID]],Table_Mappings[Data ID],0,"",TRUE,";
")</f>
        <v/>
      </c>
    </row>
    <row r="650" spans="1:7" ht="25" x14ac:dyDescent="0.25">
      <c r="A650" s="20" t="s">
        <v>1770</v>
      </c>
      <c r="B650" s="11" t="s">
        <v>643</v>
      </c>
      <c r="C650" s="6" t="s">
        <v>70</v>
      </c>
      <c r="D650" s="6" t="s">
        <v>1744</v>
      </c>
      <c r="E650" s="6" t="s">
        <v>1771</v>
      </c>
      <c r="F650" s="6" t="s">
        <v>1772</v>
      </c>
      <c r="G650" s="15" t="str" cm="1">
        <f t="array" ref="G650">MultiMatchPrefix(Table_Data[[#This Row],[D ID]],Table_Mappings[Data ID],0,"",TRUE,";
")</f>
        <v/>
      </c>
    </row>
    <row r="651" spans="1:7" x14ac:dyDescent="0.25">
      <c r="A651" s="20" t="s">
        <v>1773</v>
      </c>
      <c r="B651" s="11" t="s">
        <v>640</v>
      </c>
      <c r="C651" s="6" t="s">
        <v>70</v>
      </c>
      <c r="D651" s="6" t="s">
        <v>1774</v>
      </c>
      <c r="E651" s="17"/>
      <c r="F651" s="6" t="s">
        <v>1775</v>
      </c>
      <c r="G651" s="15" t="str" cm="1">
        <f t="array" ref="G651">MultiMatchPrefix(Table_Data[[#This Row],[D ID]],Table_Mappings[Data ID],0,"",TRUE,";
")</f>
        <v/>
      </c>
    </row>
    <row r="652" spans="1:7" x14ac:dyDescent="0.25">
      <c r="A652" s="20" t="s">
        <v>1776</v>
      </c>
      <c r="B652" s="11" t="s">
        <v>643</v>
      </c>
      <c r="C652" s="6" t="s">
        <v>70</v>
      </c>
      <c r="D652" s="6" t="s">
        <v>1774</v>
      </c>
      <c r="E652" s="6" t="s">
        <v>644</v>
      </c>
      <c r="F652" s="6" t="s">
        <v>81</v>
      </c>
      <c r="G652" s="15" t="str" cm="1">
        <f t="array" ref="G652">MultiMatchPrefix(Table_Data[[#This Row],[D ID]],Table_Mappings[Data ID],0,"",TRUE,";
")</f>
        <v/>
      </c>
    </row>
    <row r="653" spans="1:7" x14ac:dyDescent="0.25">
      <c r="A653" s="20" t="s">
        <v>1777</v>
      </c>
      <c r="B653" s="11" t="s">
        <v>643</v>
      </c>
      <c r="C653" s="6" t="s">
        <v>70</v>
      </c>
      <c r="D653" s="6" t="s">
        <v>1774</v>
      </c>
      <c r="E653" s="6" t="s">
        <v>650</v>
      </c>
      <c r="F653" s="6" t="s">
        <v>81</v>
      </c>
      <c r="G653" s="15" t="str" cm="1">
        <f t="array" ref="G653">MultiMatchPrefix(Table_Data[[#This Row],[D ID]],Table_Mappings[Data ID],0,"",TRUE,";
")</f>
        <v/>
      </c>
    </row>
    <row r="654" spans="1:7" x14ac:dyDescent="0.25">
      <c r="A654" s="20" t="s">
        <v>1778</v>
      </c>
      <c r="B654" s="11" t="s">
        <v>643</v>
      </c>
      <c r="C654" s="6" t="s">
        <v>70</v>
      </c>
      <c r="D654" s="6" t="s">
        <v>1774</v>
      </c>
      <c r="E654" s="6" t="s">
        <v>1220</v>
      </c>
      <c r="F654" s="6" t="s">
        <v>81</v>
      </c>
      <c r="G654" s="15" t="str" cm="1">
        <f t="array" ref="G654">MultiMatchPrefix(Table_Data[[#This Row],[D ID]],Table_Mappings[Data ID],0,"",TRUE,";
")</f>
        <v/>
      </c>
    </row>
    <row r="655" spans="1:7" x14ac:dyDescent="0.25">
      <c r="A655" s="20" t="s">
        <v>1779</v>
      </c>
      <c r="B655" s="11" t="s">
        <v>643</v>
      </c>
      <c r="C655" s="6" t="s">
        <v>70</v>
      </c>
      <c r="D655" s="6" t="s">
        <v>1774</v>
      </c>
      <c r="E655" s="6" t="s">
        <v>1780</v>
      </c>
      <c r="F655" s="6" t="s">
        <v>1781</v>
      </c>
      <c r="G655" s="15" t="str" cm="1">
        <f t="array" ref="G655">MultiMatchPrefix(Table_Data[[#This Row],[D ID]],Table_Mappings[Data ID],0,"",TRUE,";
")</f>
        <v/>
      </c>
    </row>
    <row r="656" spans="1:7" ht="25" x14ac:dyDescent="0.25">
      <c r="A656" s="20" t="s">
        <v>1782</v>
      </c>
      <c r="B656" s="11" t="s">
        <v>643</v>
      </c>
      <c r="C656" s="6" t="s">
        <v>70</v>
      </c>
      <c r="D656" s="6" t="s">
        <v>1774</v>
      </c>
      <c r="E656" s="6" t="s">
        <v>1756</v>
      </c>
      <c r="F656" s="6" t="s">
        <v>1757</v>
      </c>
      <c r="G656" s="15" t="str" cm="1">
        <f t="array" ref="G656">MultiMatchPrefix(Table_Data[[#This Row],[D ID]],Table_Mappings[Data ID],0,"",TRUE,";
")</f>
        <v/>
      </c>
    </row>
    <row r="657" spans="1:7" x14ac:dyDescent="0.25">
      <c r="A657" s="20" t="s">
        <v>1783</v>
      </c>
      <c r="B657" s="11" t="s">
        <v>643</v>
      </c>
      <c r="C657" s="6" t="s">
        <v>70</v>
      </c>
      <c r="D657" s="6" t="s">
        <v>1774</v>
      </c>
      <c r="E657" s="6" t="s">
        <v>1759</v>
      </c>
      <c r="F657" s="6" t="s">
        <v>1760</v>
      </c>
      <c r="G657" s="15" t="str" cm="1">
        <f t="array" ref="G657">MultiMatchPrefix(Table_Data[[#This Row],[D ID]],Table_Mappings[Data ID],0,"",TRUE,";
")</f>
        <v/>
      </c>
    </row>
    <row r="658" spans="1:7" ht="37.5" x14ac:dyDescent="0.25">
      <c r="A658" s="20" t="s">
        <v>1784</v>
      </c>
      <c r="B658" s="11" t="s">
        <v>640</v>
      </c>
      <c r="C658" s="6" t="s">
        <v>70</v>
      </c>
      <c r="D658" s="6" t="s">
        <v>1785</v>
      </c>
      <c r="E658" s="17"/>
      <c r="F658" s="6" t="s">
        <v>1786</v>
      </c>
      <c r="G658" s="15" t="str" cm="1">
        <f t="array" ref="G658">MultiMatchPrefix(Table_Data[[#This Row],[D ID]],Table_Mappings[Data ID],0,"",TRUE,";
")</f>
        <v/>
      </c>
    </row>
    <row r="659" spans="1:7" x14ac:dyDescent="0.25">
      <c r="A659" s="20" t="s">
        <v>1787</v>
      </c>
      <c r="B659" s="11" t="s">
        <v>643</v>
      </c>
      <c r="C659" s="6" t="s">
        <v>70</v>
      </c>
      <c r="D659" s="6" t="s">
        <v>1785</v>
      </c>
      <c r="E659" s="6" t="s">
        <v>644</v>
      </c>
      <c r="F659" s="6" t="s">
        <v>81</v>
      </c>
      <c r="G659" s="15" t="str" cm="1">
        <f t="array" ref="G659">MultiMatchPrefix(Table_Data[[#This Row],[D ID]],Table_Mappings[Data ID],0,"",TRUE,";
")</f>
        <v/>
      </c>
    </row>
    <row r="660" spans="1:7" x14ac:dyDescent="0.25">
      <c r="A660" s="20" t="s">
        <v>1788</v>
      </c>
      <c r="B660" s="11" t="s">
        <v>643</v>
      </c>
      <c r="C660" s="6" t="s">
        <v>70</v>
      </c>
      <c r="D660" s="6" t="s">
        <v>1785</v>
      </c>
      <c r="E660" s="6" t="s">
        <v>650</v>
      </c>
      <c r="F660" s="6" t="s">
        <v>81</v>
      </c>
      <c r="G660" s="15" t="str" cm="1">
        <f t="array" ref="G660">MultiMatchPrefix(Table_Data[[#This Row],[D ID]],Table_Mappings[Data ID],0,"",TRUE,";
")</f>
        <v/>
      </c>
    </row>
    <row r="661" spans="1:7" x14ac:dyDescent="0.25">
      <c r="A661" s="20" t="s">
        <v>1789</v>
      </c>
      <c r="B661" s="11" t="s">
        <v>643</v>
      </c>
      <c r="C661" s="6" t="s">
        <v>70</v>
      </c>
      <c r="D661" s="6" t="s">
        <v>1785</v>
      </c>
      <c r="E661" s="6" t="s">
        <v>1220</v>
      </c>
      <c r="F661" s="6" t="s">
        <v>81</v>
      </c>
      <c r="G661" s="15" t="str" cm="1">
        <f t="array" ref="G661">MultiMatchPrefix(Table_Data[[#This Row],[D ID]],Table_Mappings[Data ID],0,"",TRUE,";
")</f>
        <v/>
      </c>
    </row>
    <row r="662" spans="1:7" ht="25" x14ac:dyDescent="0.25">
      <c r="A662" s="20" t="s">
        <v>1790</v>
      </c>
      <c r="B662" s="11" t="s">
        <v>643</v>
      </c>
      <c r="C662" s="6" t="s">
        <v>70</v>
      </c>
      <c r="D662" s="6" t="s">
        <v>1785</v>
      </c>
      <c r="E662" s="6" t="s">
        <v>1756</v>
      </c>
      <c r="F662" s="6" t="s">
        <v>1757</v>
      </c>
      <c r="G662" s="15" t="str" cm="1">
        <f t="array" ref="G662">MultiMatchPrefix(Table_Data[[#This Row],[D ID]],Table_Mappings[Data ID],0,"",TRUE,";
")</f>
        <v/>
      </c>
    </row>
    <row r="663" spans="1:7" x14ac:dyDescent="0.25">
      <c r="A663" s="20" t="s">
        <v>1791</v>
      </c>
      <c r="B663" s="11" t="s">
        <v>643</v>
      </c>
      <c r="C663" s="6" t="s">
        <v>70</v>
      </c>
      <c r="D663" s="6" t="s">
        <v>1785</v>
      </c>
      <c r="E663" s="6" t="s">
        <v>1759</v>
      </c>
      <c r="F663" s="6" t="s">
        <v>1760</v>
      </c>
      <c r="G663" s="15" t="str" cm="1">
        <f t="array" ref="G663">MultiMatchPrefix(Table_Data[[#This Row],[D ID]],Table_Mappings[Data ID],0,"",TRUE,";
")</f>
        <v/>
      </c>
    </row>
    <row r="664" spans="1:7" ht="25" x14ac:dyDescent="0.25">
      <c r="A664" s="20" t="s">
        <v>1792</v>
      </c>
      <c r="B664" s="11" t="s">
        <v>640</v>
      </c>
      <c r="C664" s="6" t="s">
        <v>70</v>
      </c>
      <c r="D664" s="6" t="s">
        <v>1793</v>
      </c>
      <c r="E664" s="17"/>
      <c r="F664" s="6" t="s">
        <v>1794</v>
      </c>
      <c r="G664" s="15" t="str" cm="1">
        <f t="array" ref="G664">MultiMatchPrefix(Table_Data[[#This Row],[D ID]],Table_Mappings[Data ID],0,"",TRUE,";
")</f>
        <v/>
      </c>
    </row>
    <row r="665" spans="1:7" x14ac:dyDescent="0.25">
      <c r="A665" s="20" t="s">
        <v>1795</v>
      </c>
      <c r="B665" s="11" t="s">
        <v>643</v>
      </c>
      <c r="C665" s="6" t="s">
        <v>70</v>
      </c>
      <c r="D665" s="6" t="s">
        <v>1793</v>
      </c>
      <c r="E665" s="6" t="s">
        <v>644</v>
      </c>
      <c r="F665" s="6" t="s">
        <v>81</v>
      </c>
      <c r="G665" s="15" t="str" cm="1">
        <f t="array" ref="G665">MultiMatchPrefix(Table_Data[[#This Row],[D ID]],Table_Mappings[Data ID],0,"",TRUE,";
")</f>
        <v/>
      </c>
    </row>
    <row r="666" spans="1:7" x14ac:dyDescent="0.25">
      <c r="A666" s="20" t="s">
        <v>1796</v>
      </c>
      <c r="B666" s="11" t="s">
        <v>643</v>
      </c>
      <c r="C666" s="6" t="s">
        <v>70</v>
      </c>
      <c r="D666" s="6" t="s">
        <v>1793</v>
      </c>
      <c r="E666" s="6" t="s">
        <v>650</v>
      </c>
      <c r="F666" s="6" t="s">
        <v>81</v>
      </c>
      <c r="G666" s="15" t="str" cm="1">
        <f t="array" ref="G666">MultiMatchPrefix(Table_Data[[#This Row],[D ID]],Table_Mappings[Data ID],0,"",TRUE,";
")</f>
        <v/>
      </c>
    </row>
    <row r="667" spans="1:7" x14ac:dyDescent="0.25">
      <c r="A667" s="20" t="s">
        <v>1797</v>
      </c>
      <c r="B667" s="11" t="s">
        <v>643</v>
      </c>
      <c r="C667" s="6" t="s">
        <v>70</v>
      </c>
      <c r="D667" s="6" t="s">
        <v>1793</v>
      </c>
      <c r="E667" s="6" t="s">
        <v>1220</v>
      </c>
      <c r="F667" s="6" t="s">
        <v>81</v>
      </c>
      <c r="G667" s="15" t="str" cm="1">
        <f t="array" ref="G667">MultiMatchPrefix(Table_Data[[#This Row],[D ID]],Table_Mappings[Data ID],0,"",TRUE,";
")</f>
        <v/>
      </c>
    </row>
    <row r="668" spans="1:7" x14ac:dyDescent="0.25">
      <c r="A668" s="20" t="s">
        <v>1798</v>
      </c>
      <c r="B668" s="11" t="s">
        <v>643</v>
      </c>
      <c r="C668" s="6" t="s">
        <v>70</v>
      </c>
      <c r="D668" s="6" t="s">
        <v>1793</v>
      </c>
      <c r="E668" s="6" t="s">
        <v>1799</v>
      </c>
      <c r="F668" s="6" t="s">
        <v>1800</v>
      </c>
      <c r="G668" s="15" t="str" cm="1">
        <f t="array" ref="G668">MultiMatchPrefix(Table_Data[[#This Row],[D ID]],Table_Mappings[Data ID],0,"",TRUE,";
")</f>
        <v/>
      </c>
    </row>
    <row r="669" spans="1:7" ht="25" x14ac:dyDescent="0.25">
      <c r="A669" s="20" t="s">
        <v>1801</v>
      </c>
      <c r="B669" s="11" t="s">
        <v>643</v>
      </c>
      <c r="C669" s="6" t="s">
        <v>70</v>
      </c>
      <c r="D669" s="6" t="s">
        <v>1793</v>
      </c>
      <c r="E669" s="6" t="s">
        <v>1756</v>
      </c>
      <c r="F669" s="6" t="s">
        <v>1757</v>
      </c>
      <c r="G669" s="15" t="str" cm="1">
        <f t="array" ref="G669">MultiMatchPrefix(Table_Data[[#This Row],[D ID]],Table_Mappings[Data ID],0,"",TRUE,";
")</f>
        <v/>
      </c>
    </row>
    <row r="670" spans="1:7" x14ac:dyDescent="0.25">
      <c r="A670" s="20" t="s">
        <v>1802</v>
      </c>
      <c r="B670" s="11" t="s">
        <v>643</v>
      </c>
      <c r="C670" s="6" t="s">
        <v>70</v>
      </c>
      <c r="D670" s="6" t="s">
        <v>1793</v>
      </c>
      <c r="E670" s="6" t="s">
        <v>1759</v>
      </c>
      <c r="F670" s="6" t="s">
        <v>1760</v>
      </c>
      <c r="G670" s="15" t="str" cm="1">
        <f t="array" ref="G670">MultiMatchPrefix(Table_Data[[#This Row],[D ID]],Table_Mappings[Data ID],0,"",TRUE,";
")</f>
        <v/>
      </c>
    </row>
    <row r="671" spans="1:7" x14ac:dyDescent="0.25">
      <c r="A671" s="20" t="s">
        <v>1803</v>
      </c>
      <c r="B671" s="11" t="s">
        <v>643</v>
      </c>
      <c r="C671" s="6" t="s">
        <v>70</v>
      </c>
      <c r="D671" s="6" t="s">
        <v>1793</v>
      </c>
      <c r="E671" s="6" t="s">
        <v>1804</v>
      </c>
      <c r="F671" s="6" t="s">
        <v>81</v>
      </c>
      <c r="G671" s="15" t="str" cm="1">
        <f t="array" ref="G671">MultiMatchPrefix(Table_Data[[#This Row],[D ID]],Table_Mappings[Data ID],0,"",TRUE,";
")</f>
        <v/>
      </c>
    </row>
    <row r="672" spans="1:7" x14ac:dyDescent="0.25">
      <c r="A672" s="20" t="s">
        <v>1805</v>
      </c>
      <c r="B672" s="11" t="s">
        <v>640</v>
      </c>
      <c r="C672" s="6" t="s">
        <v>70</v>
      </c>
      <c r="D672" s="6" t="s">
        <v>1806</v>
      </c>
      <c r="E672" s="17"/>
      <c r="F672" s="6" t="s">
        <v>1807</v>
      </c>
      <c r="G672" s="15" t="str" cm="1">
        <f t="array" ref="G672">MultiMatchPrefix(Table_Data[[#This Row],[D ID]],Table_Mappings[Data ID],0,"",TRUE,";
")</f>
        <v/>
      </c>
    </row>
    <row r="673" spans="1:14" x14ac:dyDescent="0.25">
      <c r="A673" s="20" t="s">
        <v>1808</v>
      </c>
      <c r="B673" s="11" t="s">
        <v>643</v>
      </c>
      <c r="C673" s="6" t="s">
        <v>70</v>
      </c>
      <c r="D673" s="6" t="s">
        <v>1806</v>
      </c>
      <c r="E673" s="6" t="s">
        <v>644</v>
      </c>
      <c r="F673" s="6" t="s">
        <v>81</v>
      </c>
      <c r="G673" s="15" t="str" cm="1">
        <f t="array" ref="G673">MultiMatchPrefix(Table_Data[[#This Row],[D ID]],Table_Mappings[Data ID],0,"",TRUE,";
")</f>
        <v/>
      </c>
    </row>
    <row r="674" spans="1:14" x14ac:dyDescent="0.25">
      <c r="A674" s="20" t="s">
        <v>1809</v>
      </c>
      <c r="B674" s="11" t="s">
        <v>643</v>
      </c>
      <c r="C674" s="6" t="s">
        <v>70</v>
      </c>
      <c r="D674" s="6" t="s">
        <v>1806</v>
      </c>
      <c r="E674" s="6" t="s">
        <v>650</v>
      </c>
      <c r="F674" s="6" t="s">
        <v>81</v>
      </c>
      <c r="G674" s="15" t="str" cm="1">
        <f t="array" ref="G674">MultiMatchPrefix(Table_Data[[#This Row],[D ID]],Table_Mappings[Data ID],0,"",TRUE,";
")</f>
        <v/>
      </c>
    </row>
    <row r="675" spans="1:14" x14ac:dyDescent="0.25">
      <c r="A675" s="20" t="s">
        <v>1810</v>
      </c>
      <c r="B675" s="11" t="s">
        <v>643</v>
      </c>
      <c r="C675" s="6" t="s">
        <v>70</v>
      </c>
      <c r="D675" s="6" t="s">
        <v>1806</v>
      </c>
      <c r="E675" s="6" t="s">
        <v>1220</v>
      </c>
      <c r="F675" s="6" t="s">
        <v>81</v>
      </c>
      <c r="G675" s="15" t="str" cm="1">
        <f t="array" ref="G675">MultiMatchPrefix(Table_Data[[#This Row],[D ID]],Table_Mappings[Data ID],0,"",TRUE,";
")</f>
        <v/>
      </c>
    </row>
    <row r="676" spans="1:14" x14ac:dyDescent="0.25">
      <c r="A676" s="20" t="s">
        <v>1811</v>
      </c>
      <c r="B676" s="11" t="s">
        <v>643</v>
      </c>
      <c r="C676" s="6" t="s">
        <v>70</v>
      </c>
      <c r="D676" s="6" t="s">
        <v>1806</v>
      </c>
      <c r="E676" s="6" t="s">
        <v>1812</v>
      </c>
      <c r="F676" s="6" t="s">
        <v>1813</v>
      </c>
      <c r="G676" s="15" t="str" cm="1">
        <f t="array" ref="G676">MultiMatchPrefix(Table_Data[[#This Row],[D ID]],Table_Mappings[Data ID],0,"",TRUE,";
")</f>
        <v/>
      </c>
    </row>
    <row r="677" spans="1:14" x14ac:dyDescent="0.25">
      <c r="A677" s="20" t="s">
        <v>1814</v>
      </c>
      <c r="B677" s="11" t="s">
        <v>643</v>
      </c>
      <c r="C677" s="6" t="s">
        <v>70</v>
      </c>
      <c r="D677" s="6" t="s">
        <v>1806</v>
      </c>
      <c r="E677" s="6" t="s">
        <v>1815</v>
      </c>
      <c r="F677" s="6" t="s">
        <v>1816</v>
      </c>
      <c r="G677" s="15" t="str" cm="1">
        <f t="array" ref="G677">MultiMatchPrefix(Table_Data[[#This Row],[D ID]],Table_Mappings[Data ID],0,"",TRUE,";
")</f>
        <v/>
      </c>
    </row>
    <row r="678" spans="1:14" ht="25" x14ac:dyDescent="0.25">
      <c r="A678" s="20" t="s">
        <v>1817</v>
      </c>
      <c r="B678" s="11" t="s">
        <v>643</v>
      </c>
      <c r="C678" s="6" t="s">
        <v>70</v>
      </c>
      <c r="D678" s="6" t="s">
        <v>1806</v>
      </c>
      <c r="E678" s="6" t="s">
        <v>1756</v>
      </c>
      <c r="F678" s="6" t="s">
        <v>1757</v>
      </c>
      <c r="G678" s="15" t="str" cm="1">
        <f t="array" ref="G678">MultiMatchPrefix(Table_Data[[#This Row],[D ID]],Table_Mappings[Data ID],0,"",TRUE,";
")</f>
        <v/>
      </c>
    </row>
    <row r="679" spans="1:14" x14ac:dyDescent="0.25">
      <c r="A679" s="20" t="s">
        <v>1818</v>
      </c>
      <c r="B679" s="11" t="s">
        <v>643</v>
      </c>
      <c r="C679" s="6" t="s">
        <v>70</v>
      </c>
      <c r="D679" s="6" t="s">
        <v>1806</v>
      </c>
      <c r="E679" s="6" t="s">
        <v>1759</v>
      </c>
      <c r="F679" s="6" t="s">
        <v>1760</v>
      </c>
      <c r="G679" s="15" t="str" cm="1">
        <f t="array" ref="G679">MultiMatchPrefix(Table_Data[[#This Row],[D ID]],Table_Mappings[Data ID],0,"",TRUE,";
")</f>
        <v/>
      </c>
    </row>
    <row r="680" spans="1:14" x14ac:dyDescent="0.25">
      <c r="A680" s="20" t="s">
        <v>499</v>
      </c>
      <c r="B680" s="11" t="s">
        <v>79</v>
      </c>
      <c r="C680" s="6" t="s">
        <v>1819</v>
      </c>
      <c r="D680" s="17"/>
      <c r="E680" s="17"/>
      <c r="F680" s="6" t="s">
        <v>1820</v>
      </c>
      <c r="G680" s="15" t="str" cm="1">
        <f t="array" ref="G680">MultiMatchPrefix(Table_Data[[#This Row],[D ID]],Table_Mappings[Data ID],0,"",TRUE,";
")</f>
        <v>03.09 Stock count</v>
      </c>
    </row>
    <row r="681" spans="1:14" x14ac:dyDescent="0.25">
      <c r="A681" s="20" t="s">
        <v>1821</v>
      </c>
      <c r="B681" s="11" t="s">
        <v>640</v>
      </c>
      <c r="C681" s="6" t="s">
        <v>1819</v>
      </c>
      <c r="D681" s="6" t="s">
        <v>1822</v>
      </c>
      <c r="E681" s="17"/>
      <c r="F681" s="6" t="s">
        <v>1823</v>
      </c>
      <c r="G681" s="15" t="str" cm="1">
        <f t="array" ref="G681">MultiMatchPrefix(Table_Data[[#This Row],[D ID]],Table_Mappings[Data ID],0,"",TRUE,";
")</f>
        <v/>
      </c>
    </row>
    <row r="682" spans="1:14" x14ac:dyDescent="0.25">
      <c r="A682" s="20" t="s">
        <v>1824</v>
      </c>
      <c r="B682" s="11" t="s">
        <v>643</v>
      </c>
      <c r="C682" s="6" t="s">
        <v>1819</v>
      </c>
      <c r="D682" s="6" t="s">
        <v>1822</v>
      </c>
      <c r="E682" s="6" t="s">
        <v>708</v>
      </c>
      <c r="F682" s="6" t="s">
        <v>81</v>
      </c>
      <c r="G682" s="15" t="str" cm="1">
        <f t="array" ref="G682">MultiMatchPrefix(Table_Data[[#This Row],[D ID]],Table_Mappings[Data ID],0,"",TRUE,";
")</f>
        <v/>
      </c>
    </row>
    <row r="683" spans="1:14" x14ac:dyDescent="0.25">
      <c r="A683" s="20" t="s">
        <v>1825</v>
      </c>
      <c r="B683" s="11" t="s">
        <v>643</v>
      </c>
      <c r="C683" s="6" t="s">
        <v>1819</v>
      </c>
      <c r="D683" s="6" t="s">
        <v>1822</v>
      </c>
      <c r="E683" s="6" t="s">
        <v>710</v>
      </c>
      <c r="F683" s="6" t="s">
        <v>81</v>
      </c>
      <c r="G683" s="15" t="str" cm="1">
        <f t="array" ref="G683">MultiMatchPrefix(Table_Data[[#This Row],[D ID]],Table_Mappings[Data ID],0,"",TRUE,";
")</f>
        <v/>
      </c>
    </row>
    <row r="684" spans="1:14" x14ac:dyDescent="0.25">
      <c r="A684" s="20" t="s">
        <v>1826</v>
      </c>
      <c r="B684" s="11" t="s">
        <v>643</v>
      </c>
      <c r="C684" s="6" t="s">
        <v>1819</v>
      </c>
      <c r="D684" s="6" t="s">
        <v>1822</v>
      </c>
      <c r="E684" s="6" t="s">
        <v>1827</v>
      </c>
      <c r="F684" s="6" t="s">
        <v>81</v>
      </c>
      <c r="G684" s="15" t="str" cm="1">
        <f t="array" ref="G684">MultiMatchPrefix(Table_Data[[#This Row],[D ID]],Table_Mappings[Data ID],0,"",TRUE,";
")</f>
        <v/>
      </c>
    </row>
    <row r="685" spans="1:14" x14ac:dyDescent="0.25">
      <c r="A685" s="20" t="s">
        <v>1828</v>
      </c>
      <c r="B685" s="11" t="s">
        <v>643</v>
      </c>
      <c r="C685" s="6" t="s">
        <v>1819</v>
      </c>
      <c r="D685" s="6" t="s">
        <v>1822</v>
      </c>
      <c r="E685" s="6" t="s">
        <v>1829</v>
      </c>
      <c r="F685" s="6" t="s">
        <v>81</v>
      </c>
      <c r="G685" s="15" t="str" cm="1">
        <f t="array" ref="G685">MultiMatchPrefix(Table_Data[[#This Row],[D ID]],Table_Mappings[Data ID],0,"",TRUE,";
")</f>
        <v/>
      </c>
    </row>
    <row r="686" spans="1:14" x14ac:dyDescent="0.25">
      <c r="A686" s="20" t="s">
        <v>1830</v>
      </c>
      <c r="B686" s="11" t="s">
        <v>640</v>
      </c>
      <c r="C686" s="6" t="s">
        <v>1819</v>
      </c>
      <c r="D686" s="6" t="s">
        <v>796</v>
      </c>
      <c r="E686" s="17"/>
      <c r="F686" s="6" t="s">
        <v>81</v>
      </c>
      <c r="G686" s="15" t="str" cm="1">
        <f t="array" ref="G686">MultiMatchPrefix(Table_Data[[#This Row],[D ID]],Table_Mappings[Data ID],0,"",TRUE,";
")</f>
        <v/>
      </c>
      <c r="I686" s="19" t="s">
        <v>2632</v>
      </c>
      <c r="J686" s="19" t="s">
        <v>1061</v>
      </c>
      <c r="K686" s="19" t="s">
        <v>2677</v>
      </c>
      <c r="L686" s="19" t="s">
        <v>2681</v>
      </c>
      <c r="N686" s="181" t="s">
        <v>2639</v>
      </c>
    </row>
    <row r="687" spans="1:14" x14ac:dyDescent="0.25">
      <c r="A687" s="20" t="s">
        <v>1831</v>
      </c>
      <c r="B687" s="11" t="s">
        <v>643</v>
      </c>
      <c r="C687" s="6" t="s">
        <v>1819</v>
      </c>
      <c r="D687" s="6" t="s">
        <v>796</v>
      </c>
      <c r="E687" s="6" t="s">
        <v>644</v>
      </c>
      <c r="F687" s="6" t="s">
        <v>81</v>
      </c>
      <c r="G687" s="15" t="str" cm="1">
        <f t="array" ref="G687">MultiMatchPrefix(Table_Data[[#This Row],[D ID]],Table_Mappings[Data ID],0,"",TRUE,";
")</f>
        <v/>
      </c>
      <c r="I687" s="19" t="s">
        <v>2632</v>
      </c>
      <c r="J687" s="19" t="s">
        <v>1061</v>
      </c>
      <c r="K687" s="19" t="s">
        <v>2678</v>
      </c>
      <c r="L687" s="19" t="s">
        <v>2682</v>
      </c>
      <c r="N687" s="181" t="s">
        <v>2639</v>
      </c>
    </row>
    <row r="688" spans="1:14" x14ac:dyDescent="0.25">
      <c r="A688" s="20" t="s">
        <v>1832</v>
      </c>
      <c r="B688" s="11" t="s">
        <v>643</v>
      </c>
      <c r="C688" s="6" t="s">
        <v>1819</v>
      </c>
      <c r="D688" s="6" t="s">
        <v>796</v>
      </c>
      <c r="E688" s="6" t="s">
        <v>646</v>
      </c>
      <c r="F688" s="6" t="s">
        <v>81</v>
      </c>
      <c r="G688" s="15" t="str" cm="1">
        <f t="array" ref="G688">MultiMatchPrefix(Table_Data[[#This Row],[D ID]],Table_Mappings[Data ID],0,"",TRUE,";
")</f>
        <v/>
      </c>
      <c r="I688" s="19" t="s">
        <v>2632</v>
      </c>
      <c r="J688" s="19" t="s">
        <v>1061</v>
      </c>
      <c r="K688" s="19" t="s">
        <v>635</v>
      </c>
      <c r="L688" s="19" t="s">
        <v>2655</v>
      </c>
      <c r="N688" s="181" t="s">
        <v>2639</v>
      </c>
    </row>
    <row r="689" spans="1:14" x14ac:dyDescent="0.25">
      <c r="A689" s="20" t="s">
        <v>1833</v>
      </c>
      <c r="B689" s="11" t="s">
        <v>640</v>
      </c>
      <c r="C689" s="6" t="s">
        <v>1819</v>
      </c>
      <c r="D689" s="6" t="s">
        <v>1330</v>
      </c>
      <c r="E689" s="17"/>
      <c r="F689" s="6" t="s">
        <v>81</v>
      </c>
      <c r="G689" s="15" t="str" cm="1">
        <f t="array" ref="G689">MultiMatchPrefix(Table_Data[[#This Row],[D ID]],Table_Mappings[Data ID],0,"",TRUE,";
")</f>
        <v/>
      </c>
      <c r="N689" s="181">
        <v>100</v>
      </c>
    </row>
    <row r="690" spans="1:14" x14ac:dyDescent="0.25">
      <c r="A690" s="20" t="s">
        <v>1834</v>
      </c>
      <c r="B690" s="11" t="s">
        <v>643</v>
      </c>
      <c r="C690" s="6" t="s">
        <v>1819</v>
      </c>
      <c r="D690" s="6" t="s">
        <v>1330</v>
      </c>
      <c r="E690" s="6" t="s">
        <v>1799</v>
      </c>
      <c r="F690" s="6" t="s">
        <v>1835</v>
      </c>
      <c r="G690" s="15" t="str" cm="1">
        <f t="array" ref="G690">MultiMatchPrefix(Table_Data[[#This Row],[D ID]],Table_Mappings[Data ID],0,"",TRUE,";
")</f>
        <v/>
      </c>
    </row>
    <row r="691" spans="1:14" x14ac:dyDescent="0.25">
      <c r="A691" s="20" t="s">
        <v>1836</v>
      </c>
      <c r="B691" s="11" t="s">
        <v>640</v>
      </c>
      <c r="C691" s="6" t="s">
        <v>1819</v>
      </c>
      <c r="D691" s="6" t="s">
        <v>1737</v>
      </c>
      <c r="E691" s="17"/>
      <c r="F691" s="6" t="s">
        <v>81</v>
      </c>
      <c r="G691" s="15" t="str" cm="1">
        <f t="array" ref="G691">MultiMatchPrefix(Table_Data[[#This Row],[D ID]],Table_Mappings[Data ID],0,"",TRUE,";
")</f>
        <v/>
      </c>
    </row>
    <row r="692" spans="1:14" x14ac:dyDescent="0.25">
      <c r="A692" s="20" t="s">
        <v>1837</v>
      </c>
      <c r="B692" s="11" t="s">
        <v>643</v>
      </c>
      <c r="C692" s="6" t="s">
        <v>1819</v>
      </c>
      <c r="D692" s="6" t="s">
        <v>1737</v>
      </c>
      <c r="E692" s="6" t="s">
        <v>1838</v>
      </c>
      <c r="F692" s="6" t="s">
        <v>81</v>
      </c>
      <c r="G692" s="15" t="str" cm="1">
        <f t="array" ref="G692">MultiMatchPrefix(Table_Data[[#This Row],[D ID]],Table_Mappings[Data ID],0,"",TRUE,";
")</f>
        <v/>
      </c>
    </row>
    <row r="693" spans="1:14" ht="50" x14ac:dyDescent="0.25">
      <c r="A693" s="20" t="s">
        <v>377</v>
      </c>
      <c r="B693" s="11" t="s">
        <v>79</v>
      </c>
      <c r="C693" s="6" t="s">
        <v>1839</v>
      </c>
      <c r="D693" s="17"/>
      <c r="E693" s="17"/>
      <c r="F693" s="6" t="s">
        <v>1840</v>
      </c>
      <c r="G693" s="15" t="str" cm="1">
        <f t="array" ref="G693">MultiMatchPrefix(Table_Data[[#This Row],[D ID]],Table_Mappings[Data ID],0,"",TRUE,";
")</f>
        <v>02.02 Markets assessment of goods or kits ;
02.05 Purchase Order management for goods or kits;
02.09 Markets assessment of services or works ;
03.05 Assembling kits</v>
      </c>
    </row>
    <row r="694" spans="1:14" x14ac:dyDescent="0.25">
      <c r="A694" s="20" t="s">
        <v>1841</v>
      </c>
      <c r="B694" s="11" t="s">
        <v>640</v>
      </c>
      <c r="C694" s="6" t="s">
        <v>1839</v>
      </c>
      <c r="D694" s="6" t="s">
        <v>1842</v>
      </c>
      <c r="E694" s="17"/>
      <c r="F694" s="6" t="s">
        <v>81</v>
      </c>
      <c r="G694" s="15" t="str" cm="1">
        <f t="array" ref="G694">MultiMatchPrefix(Table_Data[[#This Row],[D ID]],Table_Mappings[Data ID],0,"",TRUE,";
")</f>
        <v/>
      </c>
    </row>
    <row r="695" spans="1:14" x14ac:dyDescent="0.25">
      <c r="A695" s="20" t="s">
        <v>1843</v>
      </c>
      <c r="B695" s="11" t="s">
        <v>643</v>
      </c>
      <c r="C695" s="6" t="s">
        <v>1839</v>
      </c>
      <c r="D695" s="6" t="s">
        <v>1842</v>
      </c>
      <c r="E695" s="6" t="s">
        <v>1844</v>
      </c>
      <c r="F695" s="6" t="s">
        <v>81</v>
      </c>
      <c r="G695" s="15" t="str" cm="1">
        <f t="array" ref="G695">MultiMatchPrefix(Table_Data[[#This Row],[D ID]],Table_Mappings[Data ID],0,"",TRUE,";
")</f>
        <v/>
      </c>
    </row>
    <row r="696" spans="1:14" x14ac:dyDescent="0.25">
      <c r="A696" s="20" t="s">
        <v>1845</v>
      </c>
      <c r="B696" s="11" t="s">
        <v>643</v>
      </c>
      <c r="C696" s="6" t="s">
        <v>1839</v>
      </c>
      <c r="D696" s="6" t="s">
        <v>1842</v>
      </c>
      <c r="E696" s="6" t="s">
        <v>1846</v>
      </c>
      <c r="F696" s="6" t="s">
        <v>81</v>
      </c>
      <c r="G696" s="15" t="str" cm="1">
        <f t="array" ref="G696">MultiMatchPrefix(Table_Data[[#This Row],[D ID]],Table_Mappings[Data ID],0,"",TRUE,";
")</f>
        <v/>
      </c>
    </row>
    <row r="697" spans="1:14" x14ac:dyDescent="0.25">
      <c r="A697" s="20" t="s">
        <v>1847</v>
      </c>
      <c r="B697" s="11" t="s">
        <v>643</v>
      </c>
      <c r="C697" s="6" t="s">
        <v>1839</v>
      </c>
      <c r="D697" s="6" t="s">
        <v>1842</v>
      </c>
      <c r="E697" s="6" t="s">
        <v>644</v>
      </c>
      <c r="F697" s="6" t="s">
        <v>81</v>
      </c>
      <c r="G697" s="15" t="str" cm="1">
        <f t="array" ref="G697">MultiMatchPrefix(Table_Data[[#This Row],[D ID]],Table_Mappings[Data ID],0,"",TRUE,";
")</f>
        <v/>
      </c>
    </row>
    <row r="698" spans="1:14" x14ac:dyDescent="0.25">
      <c r="A698" s="20" t="s">
        <v>1848</v>
      </c>
      <c r="B698" s="11" t="s">
        <v>643</v>
      </c>
      <c r="C698" s="6" t="s">
        <v>1839</v>
      </c>
      <c r="D698" s="6" t="s">
        <v>1842</v>
      </c>
      <c r="E698" s="6" t="s">
        <v>866</v>
      </c>
      <c r="F698" s="6" t="s">
        <v>81</v>
      </c>
      <c r="G698" s="15" t="str" cm="1">
        <f t="array" ref="G698">MultiMatchPrefix(Table_Data[[#This Row],[D ID]],Table_Mappings[Data ID],0,"",TRUE,";
")</f>
        <v/>
      </c>
    </row>
    <row r="699" spans="1:14" x14ac:dyDescent="0.25">
      <c r="A699" s="20" t="s">
        <v>1849</v>
      </c>
      <c r="B699" s="11" t="s">
        <v>640</v>
      </c>
      <c r="C699" s="6" t="s">
        <v>1839</v>
      </c>
      <c r="D699" s="6" t="s">
        <v>1850</v>
      </c>
      <c r="E699" s="17"/>
      <c r="F699" s="6" t="s">
        <v>81</v>
      </c>
      <c r="G699" s="15" t="str" cm="1">
        <f t="array" ref="G699">MultiMatchPrefix(Table_Data[[#This Row],[D ID]],Table_Mappings[Data ID],0,"",TRUE,";
")</f>
        <v/>
      </c>
    </row>
    <row r="700" spans="1:14" x14ac:dyDescent="0.25">
      <c r="A700" s="20" t="s">
        <v>1851</v>
      </c>
      <c r="B700" s="11" t="s">
        <v>643</v>
      </c>
      <c r="C700" s="6" t="s">
        <v>1839</v>
      </c>
      <c r="D700" s="6" t="s">
        <v>1850</v>
      </c>
      <c r="E700" s="6" t="s">
        <v>644</v>
      </c>
      <c r="F700" s="6" t="s">
        <v>1852</v>
      </c>
      <c r="G700" s="15" t="str" cm="1">
        <f t="array" ref="G700">MultiMatchPrefix(Table_Data[[#This Row],[D ID]],Table_Mappings[Data ID],0,"",TRUE,";
")</f>
        <v/>
      </c>
    </row>
    <row r="701" spans="1:14" x14ac:dyDescent="0.25">
      <c r="A701" s="20" t="s">
        <v>1853</v>
      </c>
      <c r="B701" s="11" t="s">
        <v>643</v>
      </c>
      <c r="C701" s="6" t="s">
        <v>1839</v>
      </c>
      <c r="D701" s="6" t="s">
        <v>1850</v>
      </c>
      <c r="E701" s="6" t="s">
        <v>650</v>
      </c>
      <c r="F701" s="6" t="s">
        <v>81</v>
      </c>
      <c r="G701" s="15" t="str" cm="1">
        <f t="array" ref="G701">MultiMatchPrefix(Table_Data[[#This Row],[D ID]],Table_Mappings[Data ID],0,"",TRUE,";
")</f>
        <v/>
      </c>
    </row>
    <row r="702" spans="1:14" ht="37.5" x14ac:dyDescent="0.25">
      <c r="A702" s="20" t="s">
        <v>459</v>
      </c>
      <c r="B702" s="11" t="s">
        <v>79</v>
      </c>
      <c r="C702" s="6" t="s">
        <v>1854</v>
      </c>
      <c r="D702" s="17"/>
      <c r="E702" s="17"/>
      <c r="F702" s="6" t="s">
        <v>1855</v>
      </c>
      <c r="G702" s="15" t="str" cm="1">
        <f t="array" ref="G702">MultiMatchPrefix(Table_Data[[#This Row],[D ID]],Table_Mappings[Data ID],0,"",TRUE,";
")</f>
        <v>03.04 Reconditionning ;
03.05 Assembling kits;
03.06 Disassembling kits</v>
      </c>
    </row>
    <row r="703" spans="1:14" x14ac:dyDescent="0.25">
      <c r="A703" s="20" t="s">
        <v>1856</v>
      </c>
      <c r="B703" s="11" t="s">
        <v>640</v>
      </c>
      <c r="C703" s="6" t="s">
        <v>1854</v>
      </c>
      <c r="D703" s="6" t="s">
        <v>1857</v>
      </c>
      <c r="E703" s="17"/>
      <c r="F703" s="6" t="s">
        <v>81</v>
      </c>
      <c r="G703" s="15" t="str" cm="1">
        <f t="array" ref="G703">MultiMatchPrefix(Table_Data[[#This Row],[D ID]],Table_Mappings[Data ID],0,"",TRUE,";
")</f>
        <v/>
      </c>
    </row>
    <row r="704" spans="1:14" x14ac:dyDescent="0.25">
      <c r="A704" s="20" t="s">
        <v>1858</v>
      </c>
      <c r="B704" s="11" t="s">
        <v>643</v>
      </c>
      <c r="C704" s="6" t="s">
        <v>1854</v>
      </c>
      <c r="D704" s="6" t="s">
        <v>1857</v>
      </c>
      <c r="E704" s="6" t="s">
        <v>1859</v>
      </c>
      <c r="F704" s="6" t="s">
        <v>1860</v>
      </c>
      <c r="G704" s="15" t="str" cm="1">
        <f t="array" ref="G704">MultiMatchPrefix(Table_Data[[#This Row],[D ID]],Table_Mappings[Data ID],0,"",TRUE,";
")</f>
        <v/>
      </c>
    </row>
    <row r="705" spans="1:7" x14ac:dyDescent="0.25">
      <c r="A705" s="20" t="s">
        <v>1861</v>
      </c>
      <c r="B705" s="11" t="s">
        <v>643</v>
      </c>
      <c r="C705" s="6" t="s">
        <v>1854</v>
      </c>
      <c r="D705" s="6" t="s">
        <v>1857</v>
      </c>
      <c r="E705" s="6" t="s">
        <v>644</v>
      </c>
      <c r="F705" s="6" t="s">
        <v>1862</v>
      </c>
      <c r="G705" s="15" t="str" cm="1">
        <f t="array" ref="G705">MultiMatchPrefix(Table_Data[[#This Row],[D ID]],Table_Mappings[Data ID],0,"",TRUE,";
")</f>
        <v/>
      </c>
    </row>
    <row r="706" spans="1:7" x14ac:dyDescent="0.25">
      <c r="A706" s="20" t="s">
        <v>1863</v>
      </c>
      <c r="B706" s="11" t="s">
        <v>643</v>
      </c>
      <c r="C706" s="6" t="s">
        <v>1854</v>
      </c>
      <c r="D706" s="6" t="s">
        <v>1857</v>
      </c>
      <c r="E706" s="6" t="s">
        <v>1686</v>
      </c>
      <c r="F706" s="6" t="s">
        <v>1864</v>
      </c>
      <c r="G706" s="15" t="str" cm="1">
        <f t="array" ref="G706">MultiMatchPrefix(Table_Data[[#This Row],[D ID]],Table_Mappings[Data ID],0,"",TRUE,";
")</f>
        <v/>
      </c>
    </row>
    <row r="707" spans="1:7" x14ac:dyDescent="0.25">
      <c r="A707" s="20" t="s">
        <v>1865</v>
      </c>
      <c r="B707" s="11" t="s">
        <v>643</v>
      </c>
      <c r="C707" s="6" t="s">
        <v>1854</v>
      </c>
      <c r="D707" s="6" t="s">
        <v>1857</v>
      </c>
      <c r="E707" s="6" t="s">
        <v>1844</v>
      </c>
      <c r="F707" s="6" t="s">
        <v>81</v>
      </c>
      <c r="G707" s="15" t="str" cm="1">
        <f t="array" ref="G707">MultiMatchPrefix(Table_Data[[#This Row],[D ID]],Table_Mappings[Data ID],0,"",TRUE,";
")</f>
        <v/>
      </c>
    </row>
    <row r="708" spans="1:7" x14ac:dyDescent="0.25">
      <c r="A708" s="20" t="s">
        <v>1866</v>
      </c>
      <c r="B708" s="11" t="s">
        <v>640</v>
      </c>
      <c r="C708" s="6" t="s">
        <v>1854</v>
      </c>
      <c r="D708" s="6" t="s">
        <v>1867</v>
      </c>
      <c r="E708" s="17"/>
      <c r="F708" s="6" t="s">
        <v>81</v>
      </c>
      <c r="G708" s="15" t="str" cm="1">
        <f t="array" ref="G708">MultiMatchPrefix(Table_Data[[#This Row],[D ID]],Table_Mappings[Data ID],0,"",TRUE,";
")</f>
        <v/>
      </c>
    </row>
    <row r="709" spans="1:7" x14ac:dyDescent="0.25">
      <c r="A709" s="20" t="s">
        <v>1868</v>
      </c>
      <c r="B709" s="11" t="s">
        <v>643</v>
      </c>
      <c r="C709" s="6" t="s">
        <v>1854</v>
      </c>
      <c r="D709" s="6" t="s">
        <v>1867</v>
      </c>
      <c r="E709" s="6" t="s">
        <v>644</v>
      </c>
      <c r="F709" s="6" t="s">
        <v>81</v>
      </c>
      <c r="G709" s="15" t="str" cm="1">
        <f t="array" ref="G709">MultiMatchPrefix(Table_Data[[#This Row],[D ID]],Table_Mappings[Data ID],0,"",TRUE,";
")</f>
        <v/>
      </c>
    </row>
    <row r="710" spans="1:7" x14ac:dyDescent="0.25">
      <c r="A710" s="20" t="s">
        <v>1869</v>
      </c>
      <c r="B710" s="11" t="s">
        <v>643</v>
      </c>
      <c r="C710" s="6" t="s">
        <v>1854</v>
      </c>
      <c r="D710" s="6" t="s">
        <v>1867</v>
      </c>
      <c r="E710" s="6" t="s">
        <v>650</v>
      </c>
      <c r="F710" s="6" t="s">
        <v>81</v>
      </c>
      <c r="G710" s="15" t="str" cm="1">
        <f t="array" ref="G710">MultiMatchPrefix(Table_Data[[#This Row],[D ID]],Table_Mappings[Data ID],0,"",TRUE,";
")</f>
        <v/>
      </c>
    </row>
    <row r="711" spans="1:7" ht="25" x14ac:dyDescent="0.25">
      <c r="A711" s="20" t="s">
        <v>463</v>
      </c>
      <c r="B711" s="11" t="s">
        <v>79</v>
      </c>
      <c r="C711" s="6" t="s">
        <v>1870</v>
      </c>
      <c r="D711" s="17"/>
      <c r="E711" s="17"/>
      <c r="F711" s="6" t="s">
        <v>1871</v>
      </c>
      <c r="G711" s="15" t="str" cm="1">
        <f t="array" ref="G711">MultiMatchPrefix(Table_Data[[#This Row],[D ID]],Table_Mappings[Data ID],0,"",TRUE,";
")</f>
        <v>03.05 Assembling kits;
03.06 Disassembling kits</v>
      </c>
    </row>
    <row r="712" spans="1:7" x14ac:dyDescent="0.25">
      <c r="A712" s="20" t="s">
        <v>1872</v>
      </c>
      <c r="B712" s="11" t="s">
        <v>640</v>
      </c>
      <c r="C712" s="6" t="s">
        <v>1870</v>
      </c>
      <c r="D712" s="6" t="s">
        <v>1873</v>
      </c>
      <c r="E712" s="17"/>
      <c r="F712" s="6" t="s">
        <v>1874</v>
      </c>
      <c r="G712" s="15" t="str" cm="1">
        <f t="array" ref="G712">MultiMatchPrefix(Table_Data[[#This Row],[D ID]],Table_Mappings[Data ID],0,"",TRUE,";
")</f>
        <v/>
      </c>
    </row>
    <row r="713" spans="1:7" x14ac:dyDescent="0.25">
      <c r="A713" s="20" t="s">
        <v>1875</v>
      </c>
      <c r="B713" s="11" t="s">
        <v>643</v>
      </c>
      <c r="C713" s="6" t="s">
        <v>1870</v>
      </c>
      <c r="D713" s="6" t="s">
        <v>1873</v>
      </c>
      <c r="E713" s="6" t="s">
        <v>1859</v>
      </c>
      <c r="F713" s="6" t="s">
        <v>81</v>
      </c>
      <c r="G713" s="15" t="str" cm="1">
        <f t="array" ref="G713">MultiMatchPrefix(Table_Data[[#This Row],[D ID]],Table_Mappings[Data ID],0,"",TRUE,";
")</f>
        <v/>
      </c>
    </row>
    <row r="714" spans="1:7" x14ac:dyDescent="0.25">
      <c r="A714" s="20" t="s">
        <v>1876</v>
      </c>
      <c r="B714" s="11" t="s">
        <v>643</v>
      </c>
      <c r="C714" s="6" t="s">
        <v>1870</v>
      </c>
      <c r="D714" s="6" t="s">
        <v>1873</v>
      </c>
      <c r="E714" s="6" t="s">
        <v>1877</v>
      </c>
      <c r="F714" s="6" t="s">
        <v>81</v>
      </c>
      <c r="G714" s="15" t="str" cm="1">
        <f t="array" ref="G714">MultiMatchPrefix(Table_Data[[#This Row],[D ID]],Table_Mappings[Data ID],0,"",TRUE,";
")</f>
        <v/>
      </c>
    </row>
    <row r="715" spans="1:7" x14ac:dyDescent="0.25">
      <c r="A715" s="20" t="s">
        <v>1878</v>
      </c>
      <c r="B715" s="11" t="s">
        <v>643</v>
      </c>
      <c r="C715" s="6" t="s">
        <v>1870</v>
      </c>
      <c r="D715" s="6" t="s">
        <v>1873</v>
      </c>
      <c r="E715" s="6" t="s">
        <v>644</v>
      </c>
      <c r="F715" s="6" t="s">
        <v>1879</v>
      </c>
      <c r="G715" s="15" t="str" cm="1">
        <f t="array" ref="G715">MultiMatchPrefix(Table_Data[[#This Row],[D ID]],Table_Mappings[Data ID],0,"",TRUE,";
")</f>
        <v/>
      </c>
    </row>
    <row r="716" spans="1:7" x14ac:dyDescent="0.25">
      <c r="A716" s="20" t="s">
        <v>1880</v>
      </c>
      <c r="B716" s="11" t="s">
        <v>643</v>
      </c>
      <c r="C716" s="6" t="s">
        <v>1870</v>
      </c>
      <c r="D716" s="6" t="s">
        <v>1873</v>
      </c>
      <c r="E716" s="6" t="s">
        <v>650</v>
      </c>
      <c r="F716" s="6" t="s">
        <v>1879</v>
      </c>
      <c r="G716" s="15" t="str" cm="1">
        <f t="array" ref="G716">MultiMatchPrefix(Table_Data[[#This Row],[D ID]],Table_Mappings[Data ID],0,"",TRUE,";
")</f>
        <v/>
      </c>
    </row>
    <row r="717" spans="1:7" x14ac:dyDescent="0.25">
      <c r="A717" s="20" t="s">
        <v>1881</v>
      </c>
      <c r="B717" s="11" t="s">
        <v>640</v>
      </c>
      <c r="C717" s="6" t="s">
        <v>1870</v>
      </c>
      <c r="D717" s="6" t="s">
        <v>1882</v>
      </c>
      <c r="E717" s="17"/>
      <c r="F717" s="6" t="s">
        <v>1883</v>
      </c>
      <c r="G717" s="15" t="str" cm="1">
        <f t="array" ref="G717">MultiMatchPrefix(Table_Data[[#This Row],[D ID]],Table_Mappings[Data ID],0,"",TRUE,";
")</f>
        <v/>
      </c>
    </row>
    <row r="718" spans="1:7" x14ac:dyDescent="0.25">
      <c r="A718" s="20" t="s">
        <v>1884</v>
      </c>
      <c r="B718" s="11" t="s">
        <v>643</v>
      </c>
      <c r="C718" s="6" t="s">
        <v>1870</v>
      </c>
      <c r="D718" s="6" t="s">
        <v>1882</v>
      </c>
      <c r="E718" s="6" t="s">
        <v>1859</v>
      </c>
      <c r="F718" s="6" t="s">
        <v>81</v>
      </c>
      <c r="G718" s="15" t="str" cm="1">
        <f t="array" ref="G718">MultiMatchPrefix(Table_Data[[#This Row],[D ID]],Table_Mappings[Data ID],0,"",TRUE,";
")</f>
        <v/>
      </c>
    </row>
    <row r="719" spans="1:7" x14ac:dyDescent="0.25">
      <c r="A719" s="20" t="s">
        <v>1885</v>
      </c>
      <c r="B719" s="11" t="s">
        <v>643</v>
      </c>
      <c r="C719" s="6" t="s">
        <v>1870</v>
      </c>
      <c r="D719" s="6" t="s">
        <v>1882</v>
      </c>
      <c r="E719" s="6" t="s">
        <v>644</v>
      </c>
      <c r="F719" s="6" t="s">
        <v>81</v>
      </c>
      <c r="G719" s="15" t="str" cm="1">
        <f t="array" ref="G719">MultiMatchPrefix(Table_Data[[#This Row],[D ID]],Table_Mappings[Data ID],0,"",TRUE,";
")</f>
        <v/>
      </c>
    </row>
    <row r="720" spans="1:7" x14ac:dyDescent="0.25">
      <c r="A720" s="20" t="s">
        <v>1886</v>
      </c>
      <c r="B720" s="11" t="s">
        <v>643</v>
      </c>
      <c r="C720" s="6" t="s">
        <v>1870</v>
      </c>
      <c r="D720" s="6" t="s">
        <v>1882</v>
      </c>
      <c r="E720" s="6" t="s">
        <v>1887</v>
      </c>
      <c r="F720" s="6" t="s">
        <v>81</v>
      </c>
      <c r="G720" s="15" t="str" cm="1">
        <f t="array" ref="G720">MultiMatchPrefix(Table_Data[[#This Row],[D ID]],Table_Mappings[Data ID],0,"",TRUE,";
")</f>
        <v/>
      </c>
    </row>
    <row r="721" spans="1:14" x14ac:dyDescent="0.25">
      <c r="A721" s="20" t="s">
        <v>1888</v>
      </c>
      <c r="B721" s="11" t="s">
        <v>643</v>
      </c>
      <c r="C721" s="6" t="s">
        <v>1870</v>
      </c>
      <c r="D721" s="6" t="s">
        <v>1882</v>
      </c>
      <c r="E721" s="6" t="s">
        <v>650</v>
      </c>
      <c r="F721" s="6" t="s">
        <v>81</v>
      </c>
      <c r="G721" s="15" t="str" cm="1">
        <f t="array" ref="G721">MultiMatchPrefix(Table_Data[[#This Row],[D ID]],Table_Mappings[Data ID],0,"",TRUE,";
")</f>
        <v/>
      </c>
    </row>
    <row r="722" spans="1:14" ht="75" x14ac:dyDescent="0.25">
      <c r="A722" s="20" t="s">
        <v>508</v>
      </c>
      <c r="B722" s="11" t="s">
        <v>79</v>
      </c>
      <c r="C722" s="6" t="s">
        <v>1889</v>
      </c>
      <c r="D722" s="17"/>
      <c r="E722" s="17"/>
      <c r="F722" s="6" t="s">
        <v>1890</v>
      </c>
      <c r="G722" s="15" t="str" cm="1">
        <f t="array" ref="G722">MultiMatchPrefix(Table_Data[[#This Row],[D ID]],Table_Mappings[Data ID],0,"",TRUE,";
")</f>
        <v>04.01 Transport planning;
04.03 Outbound transport of goods</v>
      </c>
    </row>
    <row r="723" spans="1:14" x14ac:dyDescent="0.25">
      <c r="A723" s="20" t="s">
        <v>1891</v>
      </c>
      <c r="B723" s="11" t="s">
        <v>640</v>
      </c>
      <c r="C723" s="6" t="s">
        <v>1889</v>
      </c>
      <c r="D723" s="6" t="s">
        <v>1892</v>
      </c>
      <c r="E723" s="17"/>
      <c r="F723" s="6" t="s">
        <v>81</v>
      </c>
      <c r="G723" s="15" t="str" cm="1">
        <f t="array" ref="G723">MultiMatchPrefix(Table_Data[[#This Row],[D ID]],Table_Mappings[Data ID],0,"",TRUE,";
")</f>
        <v/>
      </c>
    </row>
    <row r="724" spans="1:14" x14ac:dyDescent="0.25">
      <c r="A724" s="20" t="s">
        <v>1893</v>
      </c>
      <c r="B724" s="11" t="s">
        <v>643</v>
      </c>
      <c r="C724" s="6" t="s">
        <v>1889</v>
      </c>
      <c r="D724" s="6" t="s">
        <v>1892</v>
      </c>
      <c r="E724" s="6" t="s">
        <v>1371</v>
      </c>
      <c r="F724" s="6" t="s">
        <v>81</v>
      </c>
      <c r="G724" s="15" t="str" cm="1">
        <f t="array" ref="G724">MultiMatchPrefix(Table_Data[[#This Row],[D ID]],Table_Mappings[Data ID],0,"",TRUE,";
")</f>
        <v/>
      </c>
    </row>
    <row r="725" spans="1:14" x14ac:dyDescent="0.25">
      <c r="A725" s="20" t="s">
        <v>1894</v>
      </c>
      <c r="B725" s="11" t="s">
        <v>643</v>
      </c>
      <c r="C725" s="6" t="s">
        <v>1889</v>
      </c>
      <c r="D725" s="6" t="s">
        <v>1892</v>
      </c>
      <c r="E725" s="6" t="s">
        <v>1895</v>
      </c>
      <c r="F725" s="6" t="s">
        <v>81</v>
      </c>
      <c r="G725" s="15" t="str" cm="1">
        <f t="array" ref="G725">MultiMatchPrefix(Table_Data[[#This Row],[D ID]],Table_Mappings[Data ID],0,"",TRUE,";
")</f>
        <v/>
      </c>
    </row>
    <row r="726" spans="1:14" x14ac:dyDescent="0.25">
      <c r="A726" s="20" t="s">
        <v>1896</v>
      </c>
      <c r="B726" s="11" t="s">
        <v>643</v>
      </c>
      <c r="C726" s="6" t="s">
        <v>1889</v>
      </c>
      <c r="D726" s="6" t="s">
        <v>1892</v>
      </c>
      <c r="E726" s="6" t="s">
        <v>1497</v>
      </c>
      <c r="F726" s="6" t="s">
        <v>81</v>
      </c>
      <c r="G726" s="15" t="str" cm="1">
        <f t="array" ref="G726">MultiMatchPrefix(Table_Data[[#This Row],[D ID]],Table_Mappings[Data ID],0,"",TRUE,";
")</f>
        <v/>
      </c>
    </row>
    <row r="727" spans="1:14" x14ac:dyDescent="0.25">
      <c r="A727" s="20" t="s">
        <v>1897</v>
      </c>
      <c r="B727" s="11" t="s">
        <v>643</v>
      </c>
      <c r="C727" s="6" t="s">
        <v>1889</v>
      </c>
      <c r="D727" s="6" t="s">
        <v>1892</v>
      </c>
      <c r="E727" s="6" t="s">
        <v>1898</v>
      </c>
      <c r="F727" s="6" t="s">
        <v>81</v>
      </c>
      <c r="G727" s="15" t="str" cm="1">
        <f t="array" ref="G727">MultiMatchPrefix(Table_Data[[#This Row],[D ID]],Table_Mappings[Data ID],0,"",TRUE,";
")</f>
        <v/>
      </c>
    </row>
    <row r="728" spans="1:14" x14ac:dyDescent="0.25">
      <c r="A728" s="20" t="s">
        <v>1899</v>
      </c>
      <c r="B728" s="11" t="s">
        <v>640</v>
      </c>
      <c r="C728" s="6" t="s">
        <v>1889</v>
      </c>
      <c r="D728" s="6" t="s">
        <v>1900</v>
      </c>
      <c r="E728" s="17"/>
      <c r="F728" s="6" t="s">
        <v>81</v>
      </c>
      <c r="G728" s="15" t="str" cm="1">
        <f t="array" ref="G728">MultiMatchPrefix(Table_Data[[#This Row],[D ID]],Table_Mappings[Data ID],0,"",TRUE,";
")</f>
        <v/>
      </c>
    </row>
    <row r="729" spans="1:14" x14ac:dyDescent="0.25">
      <c r="A729" s="20" t="s">
        <v>1901</v>
      </c>
      <c r="B729" s="11" t="s">
        <v>643</v>
      </c>
      <c r="C729" s="6" t="s">
        <v>1889</v>
      </c>
      <c r="D729" s="6" t="s">
        <v>1900</v>
      </c>
      <c r="E729" s="6" t="s">
        <v>1367</v>
      </c>
      <c r="F729" s="6" t="s">
        <v>81</v>
      </c>
      <c r="G729" s="15" t="str" cm="1">
        <f t="array" ref="G729">MultiMatchPrefix(Table_Data[[#This Row],[D ID]],Table_Mappings[Data ID],0,"",TRUE,";
")</f>
        <v/>
      </c>
    </row>
    <row r="730" spans="1:14" x14ac:dyDescent="0.25">
      <c r="A730" s="20" t="s">
        <v>1902</v>
      </c>
      <c r="B730" s="11" t="s">
        <v>643</v>
      </c>
      <c r="C730" s="6" t="s">
        <v>1889</v>
      </c>
      <c r="D730" s="6" t="s">
        <v>1900</v>
      </c>
      <c r="E730" s="6" t="s">
        <v>652</v>
      </c>
      <c r="F730" s="6" t="s">
        <v>81</v>
      </c>
      <c r="G730" s="15" t="str" cm="1">
        <f t="array" ref="G730">MultiMatchPrefix(Table_Data[[#This Row],[D ID]],Table_Mappings[Data ID],0,"",TRUE,";
")</f>
        <v/>
      </c>
    </row>
    <row r="731" spans="1:14" x14ac:dyDescent="0.25">
      <c r="A731" s="20" t="s">
        <v>1903</v>
      </c>
      <c r="B731" s="11" t="s">
        <v>640</v>
      </c>
      <c r="C731" s="6" t="s">
        <v>1889</v>
      </c>
      <c r="D731" s="6" t="s">
        <v>689</v>
      </c>
      <c r="E731" s="17"/>
      <c r="F731" s="6" t="s">
        <v>81</v>
      </c>
      <c r="G731" s="15" t="str" cm="1">
        <f t="array" ref="G731">MultiMatchPrefix(Table_Data[[#This Row],[D ID]],Table_Mappings[Data ID],0,"",TRUE,";
")</f>
        <v/>
      </c>
      <c r="I731" s="19" t="s">
        <v>2632</v>
      </c>
      <c r="J731" s="19" t="s">
        <v>715</v>
      </c>
      <c r="K731" s="19" t="s">
        <v>715</v>
      </c>
      <c r="L731" s="19" t="s">
        <v>2612</v>
      </c>
      <c r="N731" s="181">
        <v>100</v>
      </c>
    </row>
    <row r="732" spans="1:14" ht="13" x14ac:dyDescent="0.25">
      <c r="A732" s="20" t="s">
        <v>1904</v>
      </c>
      <c r="B732" s="11" t="s">
        <v>643</v>
      </c>
      <c r="C732" s="153" t="s">
        <v>1889</v>
      </c>
      <c r="D732" s="153" t="s">
        <v>689</v>
      </c>
      <c r="E732" s="153" t="s">
        <v>694</v>
      </c>
      <c r="F732" s="6" t="s">
        <v>692</v>
      </c>
      <c r="G732" s="15" t="str" cm="1">
        <f t="array" ref="G732">MultiMatchPrefix(Table_Data[[#This Row],[D ID]],Table_Mappings[Data ID],0,"",TRUE,";
")</f>
        <v/>
      </c>
      <c r="I732" s="19" t="s">
        <v>2632</v>
      </c>
      <c r="J732" s="19" t="s">
        <v>715</v>
      </c>
      <c r="M732" s="19" t="s">
        <v>2673</v>
      </c>
      <c r="N732" s="181">
        <v>100</v>
      </c>
    </row>
    <row r="733" spans="1:14" x14ac:dyDescent="0.25">
      <c r="A733" s="20" t="s">
        <v>1905</v>
      </c>
      <c r="B733" s="11" t="s">
        <v>640</v>
      </c>
      <c r="C733" s="6" t="s">
        <v>1889</v>
      </c>
      <c r="D733" s="6" t="s">
        <v>696</v>
      </c>
      <c r="E733" s="17"/>
      <c r="F733" s="6" t="s">
        <v>81</v>
      </c>
      <c r="G733" s="15" t="str" cm="1">
        <f t="array" ref="G733">MultiMatchPrefix(Table_Data[[#This Row],[D ID]],Table_Mappings[Data ID],0,"",TRUE,";
")</f>
        <v/>
      </c>
      <c r="I733" s="19" t="s">
        <v>2632</v>
      </c>
      <c r="J733" s="19" t="s">
        <v>715</v>
      </c>
      <c r="K733" s="19" t="s">
        <v>715</v>
      </c>
      <c r="L733" s="19" t="s">
        <v>2612</v>
      </c>
      <c r="N733" s="181">
        <v>100</v>
      </c>
    </row>
    <row r="734" spans="1:14" ht="13" x14ac:dyDescent="0.25">
      <c r="A734" s="20" t="s">
        <v>1906</v>
      </c>
      <c r="B734" s="11" t="s">
        <v>643</v>
      </c>
      <c r="C734" s="153" t="s">
        <v>1889</v>
      </c>
      <c r="D734" s="153" t="s">
        <v>696</v>
      </c>
      <c r="E734" s="153" t="s">
        <v>694</v>
      </c>
      <c r="F734" s="6" t="s">
        <v>692</v>
      </c>
      <c r="G734" s="15" t="str" cm="1">
        <f t="array" ref="G734">MultiMatchPrefix(Table_Data[[#This Row],[D ID]],Table_Mappings[Data ID],0,"",TRUE,";
")</f>
        <v/>
      </c>
      <c r="I734" s="19" t="s">
        <v>2632</v>
      </c>
      <c r="J734" s="19" t="s">
        <v>715</v>
      </c>
      <c r="M734" s="19" t="s">
        <v>2673</v>
      </c>
      <c r="N734" s="181">
        <v>100</v>
      </c>
    </row>
    <row r="735" spans="1:14" ht="62.5" x14ac:dyDescent="0.25">
      <c r="A735" s="20" t="s">
        <v>513</v>
      </c>
      <c r="B735" s="11" t="s">
        <v>79</v>
      </c>
      <c r="C735" s="6" t="s">
        <v>1907</v>
      </c>
      <c r="D735" s="17"/>
      <c r="E735" s="17"/>
      <c r="F735" s="6" t="s">
        <v>1908</v>
      </c>
      <c r="G735" s="15" t="str" cm="1">
        <f t="array" ref="G735">MultiMatchPrefix(Table_Data[[#This Row],[D ID]],Table_Mappings[Data ID],0,"",TRUE,";
")</f>
        <v>04.03 Outbound transport of goods</v>
      </c>
    </row>
    <row r="736" spans="1:14" x14ac:dyDescent="0.25">
      <c r="A736" s="20" t="s">
        <v>1909</v>
      </c>
      <c r="B736" s="11" t="s">
        <v>640</v>
      </c>
      <c r="C736" s="6" t="s">
        <v>1907</v>
      </c>
      <c r="D736" s="6" t="s">
        <v>1910</v>
      </c>
      <c r="E736" s="17"/>
      <c r="F736" s="6" t="s">
        <v>81</v>
      </c>
      <c r="G736" s="15" t="str" cm="1">
        <f t="array" ref="G736">MultiMatchPrefix(Table_Data[[#This Row],[D ID]],Table_Mappings[Data ID],0,"",TRUE,";
")</f>
        <v/>
      </c>
    </row>
    <row r="737" spans="1:7" x14ac:dyDescent="0.25">
      <c r="A737" s="20" t="s">
        <v>1911</v>
      </c>
      <c r="B737" s="11" t="s">
        <v>643</v>
      </c>
      <c r="C737" s="6" t="s">
        <v>1907</v>
      </c>
      <c r="D737" s="6" t="s">
        <v>1910</v>
      </c>
      <c r="E737" s="6" t="s">
        <v>1912</v>
      </c>
      <c r="F737" s="6" t="s">
        <v>81</v>
      </c>
      <c r="G737" s="15" t="str" cm="1">
        <f t="array" ref="G737">MultiMatchPrefix(Table_Data[[#This Row],[D ID]],Table_Mappings[Data ID],0,"",TRUE,";
")</f>
        <v/>
      </c>
    </row>
    <row r="738" spans="1:7" x14ac:dyDescent="0.25">
      <c r="A738" s="20" t="s">
        <v>1913</v>
      </c>
      <c r="B738" s="11" t="s">
        <v>643</v>
      </c>
      <c r="C738" s="6" t="s">
        <v>1907</v>
      </c>
      <c r="D738" s="6" t="s">
        <v>1910</v>
      </c>
      <c r="E738" s="6" t="s">
        <v>1914</v>
      </c>
      <c r="F738" s="6" t="s">
        <v>1915</v>
      </c>
      <c r="G738" s="15" t="str" cm="1">
        <f t="array" ref="G738">MultiMatchPrefix(Table_Data[[#This Row],[D ID]],Table_Mappings[Data ID],0,"",TRUE,";
")</f>
        <v/>
      </c>
    </row>
    <row r="739" spans="1:7" x14ac:dyDescent="0.25">
      <c r="A739" s="20" t="s">
        <v>1916</v>
      </c>
      <c r="B739" s="11" t="s">
        <v>643</v>
      </c>
      <c r="C739" s="6" t="s">
        <v>1907</v>
      </c>
      <c r="D739" s="6" t="s">
        <v>1910</v>
      </c>
      <c r="E739" s="6" t="s">
        <v>1917</v>
      </c>
      <c r="F739" s="6" t="s">
        <v>1918</v>
      </c>
      <c r="G739" s="15" t="str" cm="1">
        <f t="array" ref="G739">MultiMatchPrefix(Table_Data[[#This Row],[D ID]],Table_Mappings[Data ID],0,"",TRUE,";
")</f>
        <v/>
      </c>
    </row>
    <row r="740" spans="1:7" x14ac:dyDescent="0.25">
      <c r="A740" s="20" t="s">
        <v>1919</v>
      </c>
      <c r="B740" s="11" t="s">
        <v>643</v>
      </c>
      <c r="C740" s="6" t="s">
        <v>1907</v>
      </c>
      <c r="D740" s="6" t="s">
        <v>1910</v>
      </c>
      <c r="E740" s="6" t="s">
        <v>1371</v>
      </c>
      <c r="F740" s="6" t="s">
        <v>81</v>
      </c>
      <c r="G740" s="15" t="str" cm="1">
        <f t="array" ref="G740">MultiMatchPrefix(Table_Data[[#This Row],[D ID]],Table_Mappings[Data ID],0,"",TRUE,";
")</f>
        <v/>
      </c>
    </row>
    <row r="741" spans="1:7" x14ac:dyDescent="0.25">
      <c r="A741" s="20" t="s">
        <v>1920</v>
      </c>
      <c r="B741" s="11" t="s">
        <v>643</v>
      </c>
      <c r="C741" s="6" t="s">
        <v>1907</v>
      </c>
      <c r="D741" s="6" t="s">
        <v>1910</v>
      </c>
      <c r="E741" s="6" t="s">
        <v>1689</v>
      </c>
      <c r="F741" s="6" t="s">
        <v>81</v>
      </c>
      <c r="G741" s="15" t="str" cm="1">
        <f t="array" ref="G741">MultiMatchPrefix(Table_Data[[#This Row],[D ID]],Table_Mappings[Data ID],0,"",TRUE,";
")</f>
        <v/>
      </c>
    </row>
    <row r="742" spans="1:7" x14ac:dyDescent="0.25">
      <c r="A742" s="20" t="s">
        <v>1921</v>
      </c>
      <c r="B742" s="11" t="s">
        <v>640</v>
      </c>
      <c r="C742" s="6" t="s">
        <v>1907</v>
      </c>
      <c r="D742" s="6" t="s">
        <v>1922</v>
      </c>
      <c r="E742" s="17"/>
      <c r="F742" s="6" t="s">
        <v>81</v>
      </c>
      <c r="G742" s="15" t="str" cm="1">
        <f t="array" ref="G742">MultiMatchPrefix(Table_Data[[#This Row],[D ID]],Table_Mappings[Data ID],0,"",TRUE,";
")</f>
        <v/>
      </c>
    </row>
    <row r="743" spans="1:7" x14ac:dyDescent="0.25">
      <c r="A743" s="20" t="s">
        <v>1923</v>
      </c>
      <c r="B743" s="11" t="s">
        <v>643</v>
      </c>
      <c r="C743" s="6" t="s">
        <v>1907</v>
      </c>
      <c r="D743" s="6" t="s">
        <v>1922</v>
      </c>
      <c r="E743" s="6" t="s">
        <v>1924</v>
      </c>
      <c r="F743" s="6" t="s">
        <v>81</v>
      </c>
      <c r="G743" s="15" t="str" cm="1">
        <f t="array" ref="G743">MultiMatchPrefix(Table_Data[[#This Row],[D ID]],Table_Mappings[Data ID],0,"",TRUE,";
")</f>
        <v/>
      </c>
    </row>
    <row r="744" spans="1:7" x14ac:dyDescent="0.25">
      <c r="A744" s="20" t="s">
        <v>1925</v>
      </c>
      <c r="B744" s="11" t="s">
        <v>643</v>
      </c>
      <c r="C744" s="6" t="s">
        <v>1907</v>
      </c>
      <c r="D744" s="6" t="s">
        <v>1922</v>
      </c>
      <c r="E744" s="6" t="s">
        <v>650</v>
      </c>
      <c r="F744" s="6" t="s">
        <v>81</v>
      </c>
      <c r="G744" s="15" t="str" cm="1">
        <f t="array" ref="G744">MultiMatchPrefix(Table_Data[[#This Row],[D ID]],Table_Mappings[Data ID],0,"",TRUE,";
")</f>
        <v/>
      </c>
    </row>
    <row r="745" spans="1:7" x14ac:dyDescent="0.25">
      <c r="A745" s="20" t="s">
        <v>1926</v>
      </c>
      <c r="B745" s="11" t="s">
        <v>643</v>
      </c>
      <c r="C745" s="6" t="s">
        <v>1907</v>
      </c>
      <c r="D745" s="6" t="s">
        <v>1922</v>
      </c>
      <c r="E745" s="6" t="s">
        <v>1631</v>
      </c>
      <c r="F745" s="6" t="s">
        <v>81</v>
      </c>
      <c r="G745" s="15" t="str" cm="1">
        <f t="array" ref="G745">MultiMatchPrefix(Table_Data[[#This Row],[D ID]],Table_Mappings[Data ID],0,"",TRUE,";
")</f>
        <v/>
      </c>
    </row>
    <row r="746" spans="1:7" x14ac:dyDescent="0.25">
      <c r="A746" s="20" t="s">
        <v>1927</v>
      </c>
      <c r="B746" s="11" t="s">
        <v>643</v>
      </c>
      <c r="C746" s="6" t="s">
        <v>1907</v>
      </c>
      <c r="D746" s="6" t="s">
        <v>1922</v>
      </c>
      <c r="E746" s="6" t="s">
        <v>1703</v>
      </c>
      <c r="F746" s="6" t="s">
        <v>81</v>
      </c>
      <c r="G746" s="15" t="str" cm="1">
        <f t="array" ref="G746">MultiMatchPrefix(Table_Data[[#This Row],[D ID]],Table_Mappings[Data ID],0,"",TRUE,";
")</f>
        <v/>
      </c>
    </row>
    <row r="747" spans="1:7" ht="25" x14ac:dyDescent="0.25">
      <c r="A747" s="20" t="s">
        <v>515</v>
      </c>
      <c r="B747" s="11" t="s">
        <v>79</v>
      </c>
      <c r="C747" s="6" t="s">
        <v>1928</v>
      </c>
      <c r="D747" s="17"/>
      <c r="E747" s="17"/>
      <c r="F747" s="6" t="s">
        <v>1929</v>
      </c>
      <c r="G747" s="15" t="str" cm="1">
        <f t="array" ref="G747">MultiMatchPrefix(Table_Data[[#This Row],[D ID]],Table_Mappings[Data ID],0,"",TRUE,";
")</f>
        <v>04.04 Transport of People (Last-mile in-country transport)</v>
      </c>
    </row>
    <row r="748" spans="1:7" x14ac:dyDescent="0.25">
      <c r="A748" s="20" t="s">
        <v>1930</v>
      </c>
      <c r="B748" s="11" t="s">
        <v>640</v>
      </c>
      <c r="C748" s="6" t="s">
        <v>1928</v>
      </c>
      <c r="D748" s="6" t="s">
        <v>1931</v>
      </c>
      <c r="E748" s="17"/>
      <c r="F748" s="6" t="s">
        <v>1932</v>
      </c>
      <c r="G748" s="15" t="str" cm="1">
        <f t="array" ref="G748">MultiMatchPrefix(Table_Data[[#This Row],[D ID]],Table_Mappings[Data ID],0,"",TRUE,";
")</f>
        <v/>
      </c>
    </row>
    <row r="749" spans="1:7" x14ac:dyDescent="0.25">
      <c r="A749" s="20" t="s">
        <v>1933</v>
      </c>
      <c r="B749" s="11" t="s">
        <v>643</v>
      </c>
      <c r="C749" s="6" t="s">
        <v>1928</v>
      </c>
      <c r="D749" s="6" t="s">
        <v>1931</v>
      </c>
      <c r="E749" s="6" t="s">
        <v>1934</v>
      </c>
      <c r="F749" s="6" t="s">
        <v>81</v>
      </c>
      <c r="G749" s="15" t="str" cm="1">
        <f t="array" ref="G749">MultiMatchPrefix(Table_Data[[#This Row],[D ID]],Table_Mappings[Data ID],0,"",TRUE,";
")</f>
        <v/>
      </c>
    </row>
    <row r="750" spans="1:7" x14ac:dyDescent="0.25">
      <c r="A750" s="20" t="s">
        <v>1935</v>
      </c>
      <c r="B750" s="11" t="s">
        <v>643</v>
      </c>
      <c r="C750" s="6" t="s">
        <v>1928</v>
      </c>
      <c r="D750" s="6" t="s">
        <v>1931</v>
      </c>
      <c r="E750" s="6" t="s">
        <v>1936</v>
      </c>
      <c r="F750" s="6" t="s">
        <v>81</v>
      </c>
      <c r="G750" s="15" t="str" cm="1">
        <f t="array" ref="G750">MultiMatchPrefix(Table_Data[[#This Row],[D ID]],Table_Mappings[Data ID],0,"",TRUE,";
")</f>
        <v/>
      </c>
    </row>
    <row r="751" spans="1:7" x14ac:dyDescent="0.25">
      <c r="A751" s="20" t="s">
        <v>1937</v>
      </c>
      <c r="B751" s="11" t="s">
        <v>643</v>
      </c>
      <c r="C751" s="6" t="s">
        <v>1928</v>
      </c>
      <c r="D751" s="6" t="s">
        <v>1931</v>
      </c>
      <c r="E751" s="6" t="s">
        <v>1938</v>
      </c>
      <c r="F751" s="6" t="s">
        <v>81</v>
      </c>
      <c r="G751" s="15" t="str" cm="1">
        <f t="array" ref="G751">MultiMatchPrefix(Table_Data[[#This Row],[D ID]],Table_Mappings[Data ID],0,"",TRUE,";
")</f>
        <v/>
      </c>
    </row>
    <row r="752" spans="1:7" x14ac:dyDescent="0.25">
      <c r="A752" s="20" t="s">
        <v>1939</v>
      </c>
      <c r="B752" s="11" t="s">
        <v>643</v>
      </c>
      <c r="C752" s="6" t="s">
        <v>1928</v>
      </c>
      <c r="D752" s="6" t="s">
        <v>1931</v>
      </c>
      <c r="E752" s="6" t="s">
        <v>1940</v>
      </c>
      <c r="F752" s="6" t="s">
        <v>81</v>
      </c>
      <c r="G752" s="15" t="str" cm="1">
        <f t="array" ref="G752">MultiMatchPrefix(Table_Data[[#This Row],[D ID]],Table_Mappings[Data ID],0,"",TRUE,";
")</f>
        <v/>
      </c>
    </row>
    <row r="753" spans="1:7" x14ac:dyDescent="0.25">
      <c r="A753" s="20" t="s">
        <v>1941</v>
      </c>
      <c r="B753" s="11" t="s">
        <v>643</v>
      </c>
      <c r="C753" s="6" t="s">
        <v>1928</v>
      </c>
      <c r="D753" s="6" t="s">
        <v>1931</v>
      </c>
      <c r="E753" s="6" t="s">
        <v>1942</v>
      </c>
      <c r="F753" s="6" t="s">
        <v>81</v>
      </c>
      <c r="G753" s="15" t="str" cm="1">
        <f t="array" ref="G753">MultiMatchPrefix(Table_Data[[#This Row],[D ID]],Table_Mappings[Data ID],0,"",TRUE,";
")</f>
        <v/>
      </c>
    </row>
    <row r="754" spans="1:7" x14ac:dyDescent="0.25">
      <c r="A754" s="20" t="s">
        <v>1943</v>
      </c>
      <c r="B754" s="11" t="s">
        <v>643</v>
      </c>
      <c r="C754" s="6" t="s">
        <v>1928</v>
      </c>
      <c r="D754" s="6" t="s">
        <v>1931</v>
      </c>
      <c r="E754" s="6" t="s">
        <v>1944</v>
      </c>
      <c r="F754" s="6" t="s">
        <v>81</v>
      </c>
      <c r="G754" s="15" t="str" cm="1">
        <f t="array" ref="G754">MultiMatchPrefix(Table_Data[[#This Row],[D ID]],Table_Mappings[Data ID],0,"",TRUE,";
")</f>
        <v/>
      </c>
    </row>
    <row r="755" spans="1:7" x14ac:dyDescent="0.25">
      <c r="A755" s="20" t="s">
        <v>1945</v>
      </c>
      <c r="B755" s="11" t="s">
        <v>643</v>
      </c>
      <c r="C755" s="6" t="s">
        <v>1928</v>
      </c>
      <c r="D755" s="6" t="s">
        <v>1931</v>
      </c>
      <c r="E755" s="6" t="s">
        <v>1946</v>
      </c>
      <c r="F755" s="6" t="s">
        <v>81</v>
      </c>
      <c r="G755" s="15" t="str" cm="1">
        <f t="array" ref="G755">MultiMatchPrefix(Table_Data[[#This Row],[D ID]],Table_Mappings[Data ID],0,"",TRUE,";
")</f>
        <v/>
      </c>
    </row>
    <row r="756" spans="1:7" x14ac:dyDescent="0.25">
      <c r="A756" s="20" t="s">
        <v>1947</v>
      </c>
      <c r="B756" s="11" t="s">
        <v>640</v>
      </c>
      <c r="C756" s="6" t="s">
        <v>1928</v>
      </c>
      <c r="D756" s="6" t="s">
        <v>1948</v>
      </c>
      <c r="E756" s="17"/>
      <c r="F756" s="6" t="s">
        <v>1949</v>
      </c>
      <c r="G756" s="15" t="str" cm="1">
        <f t="array" ref="G756">MultiMatchPrefix(Table_Data[[#This Row],[D ID]],Table_Mappings[Data ID],0,"",TRUE,";
")</f>
        <v/>
      </c>
    </row>
    <row r="757" spans="1:7" x14ac:dyDescent="0.25">
      <c r="A757" s="20" t="s">
        <v>1950</v>
      </c>
      <c r="B757" s="11" t="s">
        <v>643</v>
      </c>
      <c r="C757" s="6" t="s">
        <v>1928</v>
      </c>
      <c r="D757" s="6" t="s">
        <v>1948</v>
      </c>
      <c r="E757" s="6" t="s">
        <v>1951</v>
      </c>
      <c r="F757" s="6" t="s">
        <v>81</v>
      </c>
      <c r="G757" s="15" t="str" cm="1">
        <f t="array" ref="G757">MultiMatchPrefix(Table_Data[[#This Row],[D ID]],Table_Mappings[Data ID],0,"",TRUE,";
")</f>
        <v/>
      </c>
    </row>
    <row r="758" spans="1:7" x14ac:dyDescent="0.25">
      <c r="A758" s="20" t="s">
        <v>1952</v>
      </c>
      <c r="B758" s="11" t="s">
        <v>643</v>
      </c>
      <c r="C758" s="6" t="s">
        <v>1928</v>
      </c>
      <c r="D758" s="6" t="s">
        <v>1948</v>
      </c>
      <c r="E758" s="6" t="s">
        <v>1953</v>
      </c>
      <c r="F758" s="6" t="s">
        <v>81</v>
      </c>
      <c r="G758" s="15" t="str" cm="1">
        <f t="array" ref="G758">MultiMatchPrefix(Table_Data[[#This Row],[D ID]],Table_Mappings[Data ID],0,"",TRUE,";
")</f>
        <v/>
      </c>
    </row>
    <row r="759" spans="1:7" x14ac:dyDescent="0.25">
      <c r="A759" s="20" t="s">
        <v>1954</v>
      </c>
      <c r="B759" s="11" t="s">
        <v>643</v>
      </c>
      <c r="C759" s="6" t="s">
        <v>1928</v>
      </c>
      <c r="D759" s="6" t="s">
        <v>1948</v>
      </c>
      <c r="E759" s="6" t="s">
        <v>1955</v>
      </c>
      <c r="F759" s="6" t="s">
        <v>81</v>
      </c>
      <c r="G759" s="15" t="str" cm="1">
        <f t="array" ref="G759">MultiMatchPrefix(Table_Data[[#This Row],[D ID]],Table_Mappings[Data ID],0,"",TRUE,";
")</f>
        <v/>
      </c>
    </row>
    <row r="760" spans="1:7" ht="25" x14ac:dyDescent="0.25">
      <c r="A760" s="20" t="s">
        <v>517</v>
      </c>
      <c r="B760" s="11" t="s">
        <v>79</v>
      </c>
      <c r="C760" s="6" t="s">
        <v>1956</v>
      </c>
      <c r="D760" s="17"/>
      <c r="E760" s="17"/>
      <c r="F760" s="6" t="s">
        <v>1957</v>
      </c>
      <c r="G760" s="15" t="str" cm="1">
        <f t="array" ref="G760">MultiMatchPrefix(Table_Data[[#This Row],[D ID]],Table_Mappings[Data ID],0,"",TRUE,";
")</f>
        <v>04.04 Transport of People (Last-mile in-country transport)</v>
      </c>
    </row>
    <row r="761" spans="1:7" ht="25" x14ac:dyDescent="0.25">
      <c r="A761" s="20" t="s">
        <v>1958</v>
      </c>
      <c r="B761" s="11" t="s">
        <v>640</v>
      </c>
      <c r="C761" s="6" t="s">
        <v>1956</v>
      </c>
      <c r="D761" s="6" t="s">
        <v>1959</v>
      </c>
      <c r="E761" s="17"/>
      <c r="F761" s="6" t="s">
        <v>81</v>
      </c>
      <c r="G761" s="15" t="str" cm="1">
        <f t="array" ref="G761">MultiMatchPrefix(Table_Data[[#This Row],[D ID]],Table_Mappings[Data ID],0,"",TRUE,";
")</f>
        <v/>
      </c>
    </row>
    <row r="762" spans="1:7" ht="25" x14ac:dyDescent="0.25">
      <c r="A762" s="20" t="s">
        <v>1960</v>
      </c>
      <c r="B762" s="11" t="s">
        <v>643</v>
      </c>
      <c r="C762" s="6" t="s">
        <v>1956</v>
      </c>
      <c r="D762" s="6" t="s">
        <v>1959</v>
      </c>
      <c r="E762" s="6" t="s">
        <v>1961</v>
      </c>
      <c r="F762" s="6" t="s">
        <v>81</v>
      </c>
      <c r="G762" s="15" t="str" cm="1">
        <f t="array" ref="G762">MultiMatchPrefix(Table_Data[[#This Row],[D ID]],Table_Mappings[Data ID],0,"",TRUE,";
")</f>
        <v/>
      </c>
    </row>
    <row r="763" spans="1:7" ht="25" x14ac:dyDescent="0.25">
      <c r="A763" s="20" t="s">
        <v>1962</v>
      </c>
      <c r="B763" s="11" t="s">
        <v>643</v>
      </c>
      <c r="C763" s="6" t="s">
        <v>1956</v>
      </c>
      <c r="D763" s="6" t="s">
        <v>1959</v>
      </c>
      <c r="E763" s="6" t="s">
        <v>1934</v>
      </c>
      <c r="F763" s="6" t="s">
        <v>81</v>
      </c>
      <c r="G763" s="15" t="str" cm="1">
        <f t="array" ref="G763">MultiMatchPrefix(Table_Data[[#This Row],[D ID]],Table_Mappings[Data ID],0,"",TRUE,";
")</f>
        <v/>
      </c>
    </row>
    <row r="764" spans="1:7" ht="25" x14ac:dyDescent="0.25">
      <c r="A764" s="20" t="s">
        <v>1963</v>
      </c>
      <c r="B764" s="11" t="s">
        <v>643</v>
      </c>
      <c r="C764" s="6" t="s">
        <v>1956</v>
      </c>
      <c r="D764" s="6" t="s">
        <v>1959</v>
      </c>
      <c r="E764" s="6" t="s">
        <v>1951</v>
      </c>
      <c r="F764" s="6" t="s">
        <v>81</v>
      </c>
      <c r="G764" s="15" t="str" cm="1">
        <f t="array" ref="G764">MultiMatchPrefix(Table_Data[[#This Row],[D ID]],Table_Mappings[Data ID],0,"",TRUE,";
")</f>
        <v/>
      </c>
    </row>
    <row r="765" spans="1:7" ht="25" x14ac:dyDescent="0.25">
      <c r="A765" s="20" t="s">
        <v>1964</v>
      </c>
      <c r="B765" s="11" t="s">
        <v>643</v>
      </c>
      <c r="C765" s="6" t="s">
        <v>1956</v>
      </c>
      <c r="D765" s="6" t="s">
        <v>1959</v>
      </c>
      <c r="E765" s="6" t="s">
        <v>1686</v>
      </c>
      <c r="F765" s="6" t="s">
        <v>81</v>
      </c>
      <c r="G765" s="15" t="str" cm="1">
        <f t="array" ref="G765">MultiMatchPrefix(Table_Data[[#This Row],[D ID]],Table_Mappings[Data ID],0,"",TRUE,";
")</f>
        <v/>
      </c>
    </row>
    <row r="766" spans="1:7" x14ac:dyDescent="0.25">
      <c r="A766" s="20" t="s">
        <v>1965</v>
      </c>
      <c r="B766" s="11" t="s">
        <v>640</v>
      </c>
      <c r="C766" s="6" t="s">
        <v>1956</v>
      </c>
      <c r="D766" s="6" t="s">
        <v>1966</v>
      </c>
      <c r="E766" s="17"/>
      <c r="F766" s="6" t="s">
        <v>81</v>
      </c>
      <c r="G766" s="15" t="str" cm="1">
        <f t="array" ref="G766">MultiMatchPrefix(Table_Data[[#This Row],[D ID]],Table_Mappings[Data ID],0,"",TRUE,";
")</f>
        <v/>
      </c>
    </row>
    <row r="767" spans="1:7" x14ac:dyDescent="0.25">
      <c r="A767" s="20" t="s">
        <v>1967</v>
      </c>
      <c r="B767" s="11" t="s">
        <v>643</v>
      </c>
      <c r="C767" s="6" t="s">
        <v>1956</v>
      </c>
      <c r="D767" s="6" t="s">
        <v>1966</v>
      </c>
      <c r="E767" s="6" t="s">
        <v>1968</v>
      </c>
      <c r="F767" s="6" t="s">
        <v>1969</v>
      </c>
      <c r="G767" s="15" t="str" cm="1">
        <f t="array" ref="G767">MultiMatchPrefix(Table_Data[[#This Row],[D ID]],Table_Mappings[Data ID],0,"",TRUE,";
")</f>
        <v/>
      </c>
    </row>
    <row r="768" spans="1:7" x14ac:dyDescent="0.25">
      <c r="A768" s="20" t="s">
        <v>1970</v>
      </c>
      <c r="B768" s="11" t="s">
        <v>643</v>
      </c>
      <c r="C768" s="6" t="s">
        <v>1956</v>
      </c>
      <c r="D768" s="6" t="s">
        <v>1966</v>
      </c>
      <c r="E768" s="6" t="s">
        <v>1259</v>
      </c>
      <c r="F768" s="6" t="s">
        <v>81</v>
      </c>
      <c r="G768" s="15" t="str" cm="1">
        <f t="array" ref="G768">MultiMatchPrefix(Table_Data[[#This Row],[D ID]],Table_Mappings[Data ID],0,"",TRUE,";
")</f>
        <v/>
      </c>
    </row>
    <row r="769" spans="1:7" x14ac:dyDescent="0.25">
      <c r="A769" s="20" t="s">
        <v>1971</v>
      </c>
      <c r="B769" s="11" t="s">
        <v>640</v>
      </c>
      <c r="C769" s="6" t="s">
        <v>1956</v>
      </c>
      <c r="D769" s="6" t="s">
        <v>1972</v>
      </c>
      <c r="E769" s="17"/>
      <c r="F769" s="6" t="s">
        <v>81</v>
      </c>
      <c r="G769" s="15" t="str" cm="1">
        <f t="array" ref="G769">MultiMatchPrefix(Table_Data[[#This Row],[D ID]],Table_Mappings[Data ID],0,"",TRUE,";
")</f>
        <v/>
      </c>
    </row>
    <row r="770" spans="1:7" x14ac:dyDescent="0.25">
      <c r="A770" s="20" t="s">
        <v>1973</v>
      </c>
      <c r="B770" s="11" t="s">
        <v>643</v>
      </c>
      <c r="C770" s="6" t="s">
        <v>1956</v>
      </c>
      <c r="D770" s="6" t="s">
        <v>1972</v>
      </c>
      <c r="E770" s="6" t="s">
        <v>1061</v>
      </c>
      <c r="F770" s="6" t="s">
        <v>81</v>
      </c>
      <c r="G770" s="15" t="str" cm="1">
        <f t="array" ref="G770">MultiMatchPrefix(Table_Data[[#This Row],[D ID]],Table_Mappings[Data ID],0,"",TRUE,";
")</f>
        <v/>
      </c>
    </row>
    <row r="771" spans="1:7" x14ac:dyDescent="0.25">
      <c r="A771" s="20" t="s">
        <v>1974</v>
      </c>
      <c r="B771" s="11" t="s">
        <v>643</v>
      </c>
      <c r="C771" s="6" t="s">
        <v>1956</v>
      </c>
      <c r="D771" s="6" t="s">
        <v>1972</v>
      </c>
      <c r="E771" s="6" t="s">
        <v>650</v>
      </c>
      <c r="F771" s="6" t="s">
        <v>81</v>
      </c>
      <c r="G771" s="15" t="str" cm="1">
        <f t="array" ref="G771">MultiMatchPrefix(Table_Data[[#This Row],[D ID]],Table_Mappings[Data ID],0,"",TRUE,";
")</f>
        <v/>
      </c>
    </row>
    <row r="772" spans="1:7" x14ac:dyDescent="0.25">
      <c r="A772" s="20" t="s">
        <v>519</v>
      </c>
      <c r="B772" s="11" t="s">
        <v>79</v>
      </c>
      <c r="C772" s="6" t="s">
        <v>1975</v>
      </c>
      <c r="D772" s="17"/>
      <c r="E772" s="17"/>
      <c r="F772" s="6" t="s">
        <v>1976</v>
      </c>
      <c r="G772" s="15" t="str" cm="1">
        <f t="array" ref="G772">MultiMatchPrefix(Table_Data[[#This Row],[D ID]],Table_Mappings[Data ID],0,"",TRUE,";
")</f>
        <v>04.04 Transport of People (Last-mile in-country transport)</v>
      </c>
    </row>
    <row r="773" spans="1:7" x14ac:dyDescent="0.25">
      <c r="A773" s="20" t="s">
        <v>1977</v>
      </c>
      <c r="B773" s="11" t="s">
        <v>640</v>
      </c>
      <c r="C773" s="6" t="s">
        <v>1975</v>
      </c>
      <c r="D773" s="6" t="s">
        <v>1978</v>
      </c>
      <c r="E773" s="17"/>
      <c r="F773" s="6" t="s">
        <v>81</v>
      </c>
      <c r="G773" s="15" t="str" cm="1">
        <f t="array" ref="G773">MultiMatchPrefix(Table_Data[[#This Row],[D ID]],Table_Mappings[Data ID],0,"",TRUE,";
")</f>
        <v/>
      </c>
    </row>
    <row r="774" spans="1:7" x14ac:dyDescent="0.25">
      <c r="A774" s="20" t="s">
        <v>1979</v>
      </c>
      <c r="B774" s="11" t="s">
        <v>643</v>
      </c>
      <c r="C774" s="6" t="s">
        <v>1975</v>
      </c>
      <c r="D774" s="6" t="s">
        <v>1978</v>
      </c>
      <c r="E774" s="6" t="s">
        <v>1980</v>
      </c>
      <c r="F774" s="6" t="s">
        <v>81</v>
      </c>
      <c r="G774" s="15" t="str" cm="1">
        <f t="array" ref="G774">MultiMatchPrefix(Table_Data[[#This Row],[D ID]],Table_Mappings[Data ID],0,"",TRUE,";
")</f>
        <v/>
      </c>
    </row>
    <row r="775" spans="1:7" x14ac:dyDescent="0.25">
      <c r="A775" s="20" t="s">
        <v>1981</v>
      </c>
      <c r="B775" s="11" t="s">
        <v>643</v>
      </c>
      <c r="C775" s="6" t="s">
        <v>1975</v>
      </c>
      <c r="D775" s="6" t="s">
        <v>1978</v>
      </c>
      <c r="E775" s="6" t="s">
        <v>1982</v>
      </c>
      <c r="F775" s="6" t="s">
        <v>81</v>
      </c>
      <c r="G775" s="15" t="str" cm="1">
        <f t="array" ref="G775">MultiMatchPrefix(Table_Data[[#This Row],[D ID]],Table_Mappings[Data ID],0,"",TRUE,";
")</f>
        <v/>
      </c>
    </row>
    <row r="776" spans="1:7" x14ac:dyDescent="0.25">
      <c r="A776" s="20" t="s">
        <v>1983</v>
      </c>
      <c r="B776" s="11" t="s">
        <v>643</v>
      </c>
      <c r="C776" s="6" t="s">
        <v>1975</v>
      </c>
      <c r="D776" s="6" t="s">
        <v>1978</v>
      </c>
      <c r="E776" s="6" t="s">
        <v>1220</v>
      </c>
      <c r="F776" s="6" t="s">
        <v>81</v>
      </c>
      <c r="G776" s="15" t="str" cm="1">
        <f t="array" ref="G776">MultiMatchPrefix(Table_Data[[#This Row],[D ID]],Table_Mappings[Data ID],0,"",TRUE,";
")</f>
        <v/>
      </c>
    </row>
    <row r="777" spans="1:7" x14ac:dyDescent="0.25">
      <c r="A777" s="20" t="s">
        <v>1984</v>
      </c>
      <c r="B777" s="11" t="s">
        <v>643</v>
      </c>
      <c r="C777" s="6" t="s">
        <v>1975</v>
      </c>
      <c r="D777" s="6" t="s">
        <v>1978</v>
      </c>
      <c r="E777" s="6" t="s">
        <v>1985</v>
      </c>
      <c r="F777" s="6" t="s">
        <v>81</v>
      </c>
      <c r="G777" s="15" t="str" cm="1">
        <f t="array" ref="G777">MultiMatchPrefix(Table_Data[[#This Row],[D ID]],Table_Mappings[Data ID],0,"",TRUE,";
")</f>
        <v/>
      </c>
    </row>
    <row r="778" spans="1:7" ht="37.5" x14ac:dyDescent="0.25">
      <c r="A778" s="20" t="s">
        <v>521</v>
      </c>
      <c r="B778" s="11" t="s">
        <v>79</v>
      </c>
      <c r="C778" s="6" t="s">
        <v>1986</v>
      </c>
      <c r="D778" s="17"/>
      <c r="E778" s="17"/>
      <c r="F778" s="6" t="s">
        <v>1987</v>
      </c>
      <c r="G778" s="15" t="str" cm="1">
        <f t="array" ref="G778">MultiMatchPrefix(Table_Data[[#This Row],[D ID]],Table_Mappings[Data ID],0,"",TRUE,";
")</f>
        <v>05.01 Plan delivery distribution;
05.02 Outsourced distribution ;
05.03 External distribution</v>
      </c>
    </row>
    <row r="779" spans="1:7" ht="25" x14ac:dyDescent="0.25">
      <c r="A779" s="20" t="s">
        <v>1988</v>
      </c>
      <c r="B779" s="11" t="s">
        <v>640</v>
      </c>
      <c r="C779" s="6" t="s">
        <v>1986</v>
      </c>
      <c r="D779" s="6" t="s">
        <v>1989</v>
      </c>
      <c r="E779" s="17"/>
      <c r="F779" s="6" t="s">
        <v>1990</v>
      </c>
      <c r="G779" s="15" t="str" cm="1">
        <f t="array" ref="G779">MultiMatchPrefix(Table_Data[[#This Row],[D ID]],Table_Mappings[Data ID],0,"",TRUE,";
")</f>
        <v/>
      </c>
    </row>
    <row r="780" spans="1:7" ht="25" x14ac:dyDescent="0.25">
      <c r="A780" s="20" t="s">
        <v>1991</v>
      </c>
      <c r="B780" s="11" t="s">
        <v>643</v>
      </c>
      <c r="C780" s="6" t="s">
        <v>1986</v>
      </c>
      <c r="D780" s="6" t="s">
        <v>1989</v>
      </c>
      <c r="E780" s="6" t="s">
        <v>644</v>
      </c>
      <c r="F780" s="6" t="s">
        <v>81</v>
      </c>
      <c r="G780" s="15" t="str" cm="1">
        <f t="array" ref="G780">MultiMatchPrefix(Table_Data[[#This Row],[D ID]],Table_Mappings[Data ID],0,"",TRUE,";
")</f>
        <v/>
      </c>
    </row>
    <row r="781" spans="1:7" ht="25" x14ac:dyDescent="0.25">
      <c r="A781" s="20" t="s">
        <v>1992</v>
      </c>
      <c r="B781" s="11" t="s">
        <v>643</v>
      </c>
      <c r="C781" s="6" t="s">
        <v>1986</v>
      </c>
      <c r="D781" s="6" t="s">
        <v>1989</v>
      </c>
      <c r="E781" s="6" t="s">
        <v>646</v>
      </c>
      <c r="F781" s="6" t="s">
        <v>81</v>
      </c>
      <c r="G781" s="15" t="str" cm="1">
        <f t="array" ref="G781">MultiMatchPrefix(Table_Data[[#This Row],[D ID]],Table_Mappings[Data ID],0,"",TRUE,";
")</f>
        <v/>
      </c>
    </row>
    <row r="782" spans="1:7" ht="25" x14ac:dyDescent="0.25">
      <c r="A782" s="20" t="s">
        <v>1993</v>
      </c>
      <c r="B782" s="11" t="s">
        <v>643</v>
      </c>
      <c r="C782" s="6" t="s">
        <v>1986</v>
      </c>
      <c r="D782" s="6" t="s">
        <v>1989</v>
      </c>
      <c r="E782" s="6" t="s">
        <v>650</v>
      </c>
      <c r="F782" s="6" t="s">
        <v>81</v>
      </c>
      <c r="G782" s="15" t="str" cm="1">
        <f t="array" ref="G782">MultiMatchPrefix(Table_Data[[#This Row],[D ID]],Table_Mappings[Data ID],0,"",TRUE,";
")</f>
        <v/>
      </c>
    </row>
    <row r="783" spans="1:7" x14ac:dyDescent="0.25">
      <c r="A783" s="20" t="s">
        <v>1994</v>
      </c>
      <c r="B783" s="11" t="s">
        <v>640</v>
      </c>
      <c r="C783" s="6" t="s">
        <v>1986</v>
      </c>
      <c r="D783" s="6" t="s">
        <v>1900</v>
      </c>
      <c r="E783" s="17"/>
      <c r="F783" s="6" t="s">
        <v>81</v>
      </c>
      <c r="G783" s="15" t="str" cm="1">
        <f t="array" ref="G783">MultiMatchPrefix(Table_Data[[#This Row],[D ID]],Table_Mappings[Data ID],0,"",TRUE,";
")</f>
        <v/>
      </c>
    </row>
    <row r="784" spans="1:7" x14ac:dyDescent="0.25">
      <c r="A784" s="20" t="s">
        <v>1995</v>
      </c>
      <c r="B784" s="11" t="s">
        <v>643</v>
      </c>
      <c r="C784" s="6" t="s">
        <v>1986</v>
      </c>
      <c r="D784" s="6" t="s">
        <v>1900</v>
      </c>
      <c r="E784" s="6" t="s">
        <v>684</v>
      </c>
      <c r="F784" s="6" t="s">
        <v>81</v>
      </c>
      <c r="G784" s="15" t="str" cm="1">
        <f t="array" ref="G784">MultiMatchPrefix(Table_Data[[#This Row],[D ID]],Table_Mappings[Data ID],0,"",TRUE,";
")</f>
        <v/>
      </c>
    </row>
    <row r="785" spans="1:14" x14ac:dyDescent="0.25">
      <c r="A785" s="20" t="s">
        <v>1996</v>
      </c>
      <c r="B785" s="11" t="s">
        <v>643</v>
      </c>
      <c r="C785" s="6" t="s">
        <v>1986</v>
      </c>
      <c r="D785" s="6" t="s">
        <v>1900</v>
      </c>
      <c r="E785" s="6" t="s">
        <v>652</v>
      </c>
      <c r="F785" s="6" t="s">
        <v>81</v>
      </c>
      <c r="G785" s="15" t="str" cm="1">
        <f t="array" ref="G785">MultiMatchPrefix(Table_Data[[#This Row],[D ID]],Table_Mappings[Data ID],0,"",TRUE,";
")</f>
        <v/>
      </c>
    </row>
    <row r="786" spans="1:14" x14ac:dyDescent="0.25">
      <c r="A786" s="20" t="s">
        <v>1997</v>
      </c>
      <c r="B786" s="11" t="s">
        <v>640</v>
      </c>
      <c r="C786" s="6" t="s">
        <v>1986</v>
      </c>
      <c r="D786" s="6" t="s">
        <v>1998</v>
      </c>
      <c r="E786" s="17"/>
      <c r="F786" s="6" t="s">
        <v>81</v>
      </c>
      <c r="G786" s="15" t="str" cm="1">
        <f t="array" ref="G786">MultiMatchPrefix(Table_Data[[#This Row],[D ID]],Table_Mappings[Data ID],0,"",TRUE,";
")</f>
        <v/>
      </c>
    </row>
    <row r="787" spans="1:14" x14ac:dyDescent="0.25">
      <c r="A787" s="20" t="s">
        <v>1999</v>
      </c>
      <c r="B787" s="11" t="s">
        <v>643</v>
      </c>
      <c r="C787" s="6" t="s">
        <v>1986</v>
      </c>
      <c r="D787" s="6" t="s">
        <v>1998</v>
      </c>
      <c r="E787" s="6" t="s">
        <v>2000</v>
      </c>
      <c r="F787" s="6" t="s">
        <v>2001</v>
      </c>
      <c r="G787" s="15" t="str" cm="1">
        <f t="array" ref="G787">MultiMatchPrefix(Table_Data[[#This Row],[D ID]],Table_Mappings[Data ID],0,"",TRUE,";
")</f>
        <v/>
      </c>
    </row>
    <row r="788" spans="1:14" x14ac:dyDescent="0.25">
      <c r="A788" s="20" t="s">
        <v>2002</v>
      </c>
      <c r="B788" s="11" t="s">
        <v>640</v>
      </c>
      <c r="C788" s="6" t="s">
        <v>1986</v>
      </c>
      <c r="D788" s="6" t="s">
        <v>689</v>
      </c>
      <c r="E788" s="17"/>
      <c r="F788" s="6" t="s">
        <v>81</v>
      </c>
      <c r="G788" s="15" t="str" cm="1">
        <f t="array" ref="G788">MultiMatchPrefix(Table_Data[[#This Row],[D ID]],Table_Mappings[Data ID],0,"",TRUE,";
")</f>
        <v/>
      </c>
      <c r="I788" s="19" t="s">
        <v>2632</v>
      </c>
      <c r="J788" s="19" t="s">
        <v>715</v>
      </c>
      <c r="K788" s="19" t="s">
        <v>715</v>
      </c>
      <c r="L788" s="19" t="s">
        <v>2612</v>
      </c>
      <c r="N788" s="181">
        <v>100</v>
      </c>
    </row>
    <row r="789" spans="1:14" ht="13" x14ac:dyDescent="0.25">
      <c r="A789" s="20" t="s">
        <v>2003</v>
      </c>
      <c r="B789" s="11" t="s">
        <v>643</v>
      </c>
      <c r="C789" s="153" t="s">
        <v>1986</v>
      </c>
      <c r="D789" s="153" t="s">
        <v>689</v>
      </c>
      <c r="E789" s="153" t="s">
        <v>694</v>
      </c>
      <c r="F789" s="6" t="s">
        <v>692</v>
      </c>
      <c r="G789" s="15" t="str" cm="1">
        <f t="array" ref="G789">MultiMatchPrefix(Table_Data[[#This Row],[D ID]],Table_Mappings[Data ID],0,"",TRUE,";
")</f>
        <v/>
      </c>
      <c r="I789" s="19" t="s">
        <v>2632</v>
      </c>
      <c r="J789" s="19" t="s">
        <v>715</v>
      </c>
      <c r="M789" s="19" t="s">
        <v>2673</v>
      </c>
      <c r="N789" s="181">
        <v>100</v>
      </c>
    </row>
    <row r="790" spans="1:14" x14ac:dyDescent="0.25">
      <c r="A790" s="20" t="s">
        <v>2004</v>
      </c>
      <c r="B790" s="11" t="s">
        <v>640</v>
      </c>
      <c r="C790" s="6" t="s">
        <v>1986</v>
      </c>
      <c r="D790" s="6" t="s">
        <v>696</v>
      </c>
      <c r="E790" s="17"/>
      <c r="F790" s="6" t="s">
        <v>81</v>
      </c>
      <c r="G790" s="15" t="str" cm="1">
        <f t="array" ref="G790">MultiMatchPrefix(Table_Data[[#This Row],[D ID]],Table_Mappings[Data ID],0,"",TRUE,";
")</f>
        <v/>
      </c>
      <c r="I790" s="19" t="s">
        <v>2632</v>
      </c>
      <c r="J790" s="19" t="s">
        <v>715</v>
      </c>
      <c r="K790" s="19" t="s">
        <v>715</v>
      </c>
      <c r="L790" s="19" t="s">
        <v>2612</v>
      </c>
      <c r="N790" s="181">
        <v>100</v>
      </c>
    </row>
    <row r="791" spans="1:14" ht="13" x14ac:dyDescent="0.25">
      <c r="A791" s="20" t="s">
        <v>2005</v>
      </c>
      <c r="B791" s="11" t="s">
        <v>643</v>
      </c>
      <c r="C791" s="153" t="s">
        <v>1986</v>
      </c>
      <c r="D791" s="153" t="s">
        <v>696</v>
      </c>
      <c r="E791" s="153" t="s">
        <v>694</v>
      </c>
      <c r="F791" s="6" t="s">
        <v>692</v>
      </c>
      <c r="G791" s="15" t="str" cm="1">
        <f t="array" ref="G791">MultiMatchPrefix(Table_Data[[#This Row],[D ID]],Table_Mappings[Data ID],0,"",TRUE,";
")</f>
        <v/>
      </c>
      <c r="I791" s="19" t="s">
        <v>2632</v>
      </c>
      <c r="J791" s="19" t="s">
        <v>715</v>
      </c>
      <c r="M791" s="19" t="s">
        <v>2673</v>
      </c>
      <c r="N791" s="181">
        <v>100</v>
      </c>
    </row>
    <row r="792" spans="1:14" ht="50" x14ac:dyDescent="0.25">
      <c r="A792" s="20" t="s">
        <v>470</v>
      </c>
      <c r="B792" s="11" t="s">
        <v>79</v>
      </c>
      <c r="C792" s="6" t="s">
        <v>673</v>
      </c>
      <c r="D792" s="17"/>
      <c r="E792" s="17"/>
      <c r="F792" s="6" t="s">
        <v>81</v>
      </c>
      <c r="G792" s="15" t="str" cm="1">
        <f t="array" ref="G792">MultiMatchPrefix(Table_Data[[#This Row],[D ID]],Table_Mappings[Data ID],0,"",TRUE,";
")</f>
        <v>03.07 Stock transfer;
05.01 Plan delivery distribution;
05.02 Outsourced distribution ;
05.03 External distribution</v>
      </c>
    </row>
    <row r="793" spans="1:14" x14ac:dyDescent="0.25">
      <c r="A793" s="20" t="s">
        <v>2006</v>
      </c>
      <c r="B793" s="11" t="s">
        <v>640</v>
      </c>
      <c r="C793" s="6" t="s">
        <v>673</v>
      </c>
      <c r="D793" s="6" t="s">
        <v>676</v>
      </c>
      <c r="E793" s="17"/>
      <c r="F793" s="6" t="s">
        <v>2007</v>
      </c>
      <c r="G793" s="15" t="str" cm="1">
        <f t="array" ref="G793">MultiMatchPrefix(Table_Data[[#This Row],[D ID]],Table_Mappings[Data ID],0,"",TRUE,";
")</f>
        <v/>
      </c>
      <c r="I793" s="19" t="s">
        <v>2632</v>
      </c>
      <c r="J793" s="19" t="s">
        <v>2759</v>
      </c>
    </row>
    <row r="794" spans="1:14" x14ac:dyDescent="0.25">
      <c r="A794" s="20" t="s">
        <v>2008</v>
      </c>
      <c r="B794" s="11" t="s">
        <v>643</v>
      </c>
      <c r="C794" s="6" t="s">
        <v>673</v>
      </c>
      <c r="D794" s="6" t="s">
        <v>676</v>
      </c>
      <c r="E794" s="6" t="s">
        <v>644</v>
      </c>
      <c r="F794" s="6" t="s">
        <v>81</v>
      </c>
      <c r="G794" s="15" t="str" cm="1">
        <f t="array" ref="G794">MultiMatchPrefix(Table_Data[[#This Row],[D ID]],Table_Mappings[Data ID],0,"",TRUE,";
")</f>
        <v/>
      </c>
      <c r="I794" s="19" t="s">
        <v>2632</v>
      </c>
      <c r="J794" s="19" t="s">
        <v>1061</v>
      </c>
      <c r="K794" s="19" t="s">
        <v>2678</v>
      </c>
      <c r="L794" s="19" t="s">
        <v>2682</v>
      </c>
      <c r="N794" s="181" t="s">
        <v>2639</v>
      </c>
    </row>
    <row r="795" spans="1:14" x14ac:dyDescent="0.25">
      <c r="A795" s="20" t="s">
        <v>2009</v>
      </c>
      <c r="B795" s="11" t="s">
        <v>643</v>
      </c>
      <c r="C795" s="6" t="s">
        <v>673</v>
      </c>
      <c r="D795" s="6" t="s">
        <v>676</v>
      </c>
      <c r="E795" s="6" t="s">
        <v>646</v>
      </c>
      <c r="F795" s="6" t="s">
        <v>81</v>
      </c>
      <c r="G795" s="15" t="str" cm="1">
        <f t="array" ref="G795">MultiMatchPrefix(Table_Data[[#This Row],[D ID]],Table_Mappings[Data ID],0,"",TRUE,";
")</f>
        <v/>
      </c>
      <c r="I795" s="19" t="s">
        <v>2632</v>
      </c>
      <c r="J795" s="19" t="s">
        <v>1061</v>
      </c>
      <c r="K795" s="19" t="s">
        <v>635</v>
      </c>
      <c r="L795" s="19" t="s">
        <v>2655</v>
      </c>
      <c r="N795" s="181" t="s">
        <v>2639</v>
      </c>
    </row>
    <row r="796" spans="1:14" x14ac:dyDescent="0.25">
      <c r="A796" s="20" t="s">
        <v>2010</v>
      </c>
      <c r="B796" s="11" t="s">
        <v>643</v>
      </c>
      <c r="C796" s="6" t="s">
        <v>673</v>
      </c>
      <c r="D796" s="6" t="s">
        <v>676</v>
      </c>
      <c r="E796" s="6" t="s">
        <v>650</v>
      </c>
      <c r="F796" s="6" t="s">
        <v>81</v>
      </c>
      <c r="G796" s="15" t="str" cm="1">
        <f t="array" ref="G796">MultiMatchPrefix(Table_Data[[#This Row],[D ID]],Table_Mappings[Data ID],0,"",TRUE,";
")</f>
        <v/>
      </c>
      <c r="I796" s="19" t="s">
        <v>2632</v>
      </c>
      <c r="J796" s="19" t="s">
        <v>1061</v>
      </c>
      <c r="K796" s="19" t="s">
        <v>1737</v>
      </c>
      <c r="L796" s="19" t="s">
        <v>2753</v>
      </c>
      <c r="N796" s="181" t="s">
        <v>2639</v>
      </c>
    </row>
    <row r="797" spans="1:14" x14ac:dyDescent="0.25">
      <c r="A797" s="20" t="s">
        <v>2011</v>
      </c>
      <c r="B797" s="11" t="s">
        <v>640</v>
      </c>
      <c r="C797" s="6" t="s">
        <v>673</v>
      </c>
      <c r="D797" s="6" t="s">
        <v>682</v>
      </c>
      <c r="E797" s="17"/>
      <c r="F797" s="6" t="s">
        <v>2012</v>
      </c>
      <c r="G797" s="15" t="str" cm="1">
        <f t="array" ref="G797">MultiMatchPrefix(Table_Data[[#This Row],[D ID]],Table_Mappings[Data ID],0,"",TRUE,";
")</f>
        <v/>
      </c>
    </row>
    <row r="798" spans="1:14" x14ac:dyDescent="0.25">
      <c r="A798" s="20" t="s">
        <v>2013</v>
      </c>
      <c r="B798" s="11" t="s">
        <v>643</v>
      </c>
      <c r="C798" s="6" t="s">
        <v>673</v>
      </c>
      <c r="D798" s="6" t="s">
        <v>682</v>
      </c>
      <c r="E798" s="6" t="s">
        <v>684</v>
      </c>
      <c r="F798" s="6" t="s">
        <v>81</v>
      </c>
      <c r="G798" s="15" t="str" cm="1">
        <f t="array" ref="G798">MultiMatchPrefix(Table_Data[[#This Row],[D ID]],Table_Mappings[Data ID],0,"",TRUE,";
")</f>
        <v/>
      </c>
    </row>
    <row r="799" spans="1:14" x14ac:dyDescent="0.25">
      <c r="A799" s="20" t="s">
        <v>2014</v>
      </c>
      <c r="B799" s="11" t="s">
        <v>643</v>
      </c>
      <c r="C799" s="6" t="s">
        <v>673</v>
      </c>
      <c r="D799" s="6" t="s">
        <v>682</v>
      </c>
      <c r="E799" s="6" t="s">
        <v>652</v>
      </c>
      <c r="F799" s="6" t="s">
        <v>81</v>
      </c>
      <c r="G799" s="15" t="str" cm="1">
        <f t="array" ref="G799">MultiMatchPrefix(Table_Data[[#This Row],[D ID]],Table_Mappings[Data ID],0,"",TRUE,";
")</f>
        <v/>
      </c>
    </row>
    <row r="800" spans="1:14" x14ac:dyDescent="0.25">
      <c r="A800" s="20" t="s">
        <v>2015</v>
      </c>
      <c r="B800" s="11" t="s">
        <v>640</v>
      </c>
      <c r="C800" s="6" t="s">
        <v>673</v>
      </c>
      <c r="D800" s="6" t="s">
        <v>689</v>
      </c>
      <c r="E800" s="17"/>
      <c r="F800" s="6" t="s">
        <v>81</v>
      </c>
      <c r="G800" s="15" t="str" cm="1">
        <f t="array" ref="G800">MultiMatchPrefix(Table_Data[[#This Row],[D ID]],Table_Mappings[Data ID],0,"",TRUE,";
")</f>
        <v/>
      </c>
      <c r="I800" s="19" t="s">
        <v>2632</v>
      </c>
      <c r="J800" s="19" t="s">
        <v>715</v>
      </c>
      <c r="K800" s="19" t="s">
        <v>715</v>
      </c>
      <c r="L800" s="19" t="s">
        <v>2612</v>
      </c>
      <c r="N800" s="181">
        <v>100</v>
      </c>
    </row>
    <row r="801" spans="1:14" ht="13" x14ac:dyDescent="0.25">
      <c r="A801" s="20" t="s">
        <v>2016</v>
      </c>
      <c r="B801" s="11" t="s">
        <v>643</v>
      </c>
      <c r="C801" s="153" t="s">
        <v>673</v>
      </c>
      <c r="D801" s="153" t="s">
        <v>689</v>
      </c>
      <c r="E801" s="153" t="s">
        <v>694</v>
      </c>
      <c r="F801" s="6" t="s">
        <v>692</v>
      </c>
      <c r="G801" s="15" t="str" cm="1">
        <f t="array" ref="G801">MultiMatchPrefix(Table_Data[[#This Row],[D ID]],Table_Mappings[Data ID],0,"",TRUE,";
")</f>
        <v/>
      </c>
      <c r="I801" s="19" t="s">
        <v>2632</v>
      </c>
      <c r="J801" s="19" t="s">
        <v>715</v>
      </c>
      <c r="M801" s="19" t="s">
        <v>2673</v>
      </c>
      <c r="N801" s="181">
        <v>100</v>
      </c>
    </row>
    <row r="802" spans="1:14" x14ac:dyDescent="0.25">
      <c r="A802" s="20" t="s">
        <v>2017</v>
      </c>
      <c r="B802" s="11" t="s">
        <v>640</v>
      </c>
      <c r="C802" s="6" t="s">
        <v>673</v>
      </c>
      <c r="D802" s="6" t="s">
        <v>696</v>
      </c>
      <c r="E802" s="17"/>
      <c r="F802" s="6" t="s">
        <v>81</v>
      </c>
      <c r="G802" s="15" t="str" cm="1">
        <f t="array" ref="G802">MultiMatchPrefix(Table_Data[[#This Row],[D ID]],Table_Mappings[Data ID],0,"",TRUE,";
")</f>
        <v/>
      </c>
      <c r="I802" s="19" t="s">
        <v>2632</v>
      </c>
      <c r="J802" s="19" t="s">
        <v>715</v>
      </c>
      <c r="K802" s="19" t="s">
        <v>715</v>
      </c>
      <c r="L802" s="19" t="s">
        <v>2612</v>
      </c>
      <c r="N802" s="181">
        <v>100</v>
      </c>
    </row>
    <row r="803" spans="1:14" ht="13" x14ac:dyDescent="0.25">
      <c r="A803" s="20" t="s">
        <v>2018</v>
      </c>
      <c r="B803" s="11" t="s">
        <v>643</v>
      </c>
      <c r="C803" s="153" t="s">
        <v>673</v>
      </c>
      <c r="D803" s="153" t="s">
        <v>696</v>
      </c>
      <c r="E803" s="153" t="s">
        <v>694</v>
      </c>
      <c r="F803" s="6" t="s">
        <v>692</v>
      </c>
      <c r="G803" s="15" t="str" cm="1">
        <f t="array" ref="G803">MultiMatchPrefix(Table_Data[[#This Row],[D ID]],Table_Mappings[Data ID],0,"",TRUE,";
")</f>
        <v/>
      </c>
      <c r="I803" s="19" t="s">
        <v>2632</v>
      </c>
      <c r="J803" s="19" t="s">
        <v>715</v>
      </c>
      <c r="M803" s="19" t="s">
        <v>2673</v>
      </c>
      <c r="N803" s="181">
        <v>100</v>
      </c>
    </row>
    <row r="804" spans="1:14" ht="87.5" x14ac:dyDescent="0.25">
      <c r="A804" s="20" t="s">
        <v>528</v>
      </c>
      <c r="B804" s="11" t="s">
        <v>79</v>
      </c>
      <c r="C804" s="6" t="s">
        <v>2019</v>
      </c>
      <c r="D804" s="17"/>
      <c r="E804" s="17"/>
      <c r="F804" s="6" t="s">
        <v>2020</v>
      </c>
      <c r="G804" s="15" t="str" cm="1">
        <f t="array" ref="G804">MultiMatchPrefix(Table_Data[[#This Row],[D ID]],Table_Mappings[Data ID],0,"",TRUE,";
")</f>
        <v xml:space="preserve">05.04 Internal distribution </v>
      </c>
    </row>
    <row r="805" spans="1:14" x14ac:dyDescent="0.25">
      <c r="A805" s="20" t="s">
        <v>2021</v>
      </c>
      <c r="B805" s="11" t="s">
        <v>640</v>
      </c>
      <c r="C805" s="6" t="s">
        <v>2019</v>
      </c>
      <c r="D805" s="6" t="s">
        <v>2022</v>
      </c>
      <c r="E805" s="17"/>
      <c r="F805" s="6" t="s">
        <v>81</v>
      </c>
      <c r="G805" s="15" t="str" cm="1">
        <f t="array" ref="G805">MultiMatchPrefix(Table_Data[[#This Row],[D ID]],Table_Mappings[Data ID],0,"",TRUE,";
")</f>
        <v/>
      </c>
    </row>
    <row r="806" spans="1:14" x14ac:dyDescent="0.25">
      <c r="A806" s="20" t="s">
        <v>2023</v>
      </c>
      <c r="B806" s="11" t="s">
        <v>643</v>
      </c>
      <c r="C806" s="6" t="s">
        <v>2019</v>
      </c>
      <c r="D806" s="6" t="s">
        <v>2022</v>
      </c>
      <c r="E806" s="6" t="s">
        <v>2024</v>
      </c>
      <c r="F806" s="6" t="s">
        <v>81</v>
      </c>
      <c r="G806" s="15" t="str" cm="1">
        <f t="array" ref="G806">MultiMatchPrefix(Table_Data[[#This Row],[D ID]],Table_Mappings[Data ID],0,"",TRUE,";
")</f>
        <v/>
      </c>
    </row>
    <row r="807" spans="1:14" x14ac:dyDescent="0.25">
      <c r="A807" s="20" t="s">
        <v>2025</v>
      </c>
      <c r="B807" s="11" t="s">
        <v>643</v>
      </c>
      <c r="C807" s="6" t="s">
        <v>2019</v>
      </c>
      <c r="D807" s="6" t="s">
        <v>2022</v>
      </c>
      <c r="E807" s="6" t="s">
        <v>684</v>
      </c>
      <c r="F807" s="6" t="s">
        <v>81</v>
      </c>
      <c r="G807" s="15" t="str" cm="1">
        <f t="array" ref="G807">MultiMatchPrefix(Table_Data[[#This Row],[D ID]],Table_Mappings[Data ID],0,"",TRUE,";
")</f>
        <v/>
      </c>
    </row>
    <row r="808" spans="1:14" x14ac:dyDescent="0.25">
      <c r="A808" s="20" t="s">
        <v>2026</v>
      </c>
      <c r="B808" s="11" t="s">
        <v>643</v>
      </c>
      <c r="C808" s="6" t="s">
        <v>2019</v>
      </c>
      <c r="D808" s="6" t="s">
        <v>2022</v>
      </c>
      <c r="E808" s="6" t="s">
        <v>1414</v>
      </c>
      <c r="F808" s="6" t="s">
        <v>81</v>
      </c>
      <c r="G808" s="15" t="str" cm="1">
        <f t="array" ref="G808">MultiMatchPrefix(Table_Data[[#This Row],[D ID]],Table_Mappings[Data ID],0,"",TRUE,";
")</f>
        <v/>
      </c>
    </row>
    <row r="809" spans="1:14" x14ac:dyDescent="0.25">
      <c r="A809" s="20" t="s">
        <v>2027</v>
      </c>
      <c r="B809" s="11" t="s">
        <v>643</v>
      </c>
      <c r="C809" s="6" t="s">
        <v>2019</v>
      </c>
      <c r="D809" s="6" t="s">
        <v>2022</v>
      </c>
      <c r="E809" s="6" t="s">
        <v>2028</v>
      </c>
      <c r="F809" s="6" t="s">
        <v>81</v>
      </c>
      <c r="G809" s="15" t="str" cm="1">
        <f t="array" ref="G809">MultiMatchPrefix(Table_Data[[#This Row],[D ID]],Table_Mappings[Data ID],0,"",TRUE,";
")</f>
        <v/>
      </c>
    </row>
    <row r="810" spans="1:14" x14ac:dyDescent="0.25">
      <c r="A810" s="20" t="s">
        <v>2029</v>
      </c>
      <c r="B810" s="11" t="s">
        <v>640</v>
      </c>
      <c r="C810" s="6" t="s">
        <v>2019</v>
      </c>
      <c r="D810" s="6" t="s">
        <v>689</v>
      </c>
      <c r="E810" s="17"/>
      <c r="F810" s="6" t="s">
        <v>81</v>
      </c>
      <c r="G810" s="15" t="str" cm="1">
        <f t="array" ref="G810">MultiMatchPrefix(Table_Data[[#This Row],[D ID]],Table_Mappings[Data ID],0,"",TRUE,";
")</f>
        <v/>
      </c>
      <c r="I810" s="19" t="s">
        <v>2632</v>
      </c>
      <c r="J810" s="19" t="s">
        <v>715</v>
      </c>
      <c r="K810" s="19" t="s">
        <v>715</v>
      </c>
      <c r="L810" s="19" t="s">
        <v>2612</v>
      </c>
      <c r="N810" s="181">
        <v>100</v>
      </c>
    </row>
    <row r="811" spans="1:14" x14ac:dyDescent="0.25">
      <c r="A811" s="20" t="s">
        <v>2030</v>
      </c>
      <c r="B811" s="11" t="s">
        <v>643</v>
      </c>
      <c r="C811" s="6" t="s">
        <v>2019</v>
      </c>
      <c r="D811" s="6" t="s">
        <v>689</v>
      </c>
      <c r="E811" s="6" t="s">
        <v>2031</v>
      </c>
      <c r="F811" s="6" t="s">
        <v>81</v>
      </c>
      <c r="G811" s="15" t="str" cm="1">
        <f t="array" ref="G811">MultiMatchPrefix(Table_Data[[#This Row],[D ID]],Table_Mappings[Data ID],0,"",TRUE,";
")</f>
        <v/>
      </c>
    </row>
    <row r="812" spans="1:14" ht="13" x14ac:dyDescent="0.25">
      <c r="A812" s="20" t="s">
        <v>2032</v>
      </c>
      <c r="B812" s="11" t="s">
        <v>643</v>
      </c>
      <c r="C812" s="153" t="s">
        <v>2019</v>
      </c>
      <c r="D812" s="153" t="s">
        <v>689</v>
      </c>
      <c r="E812" s="153" t="s">
        <v>694</v>
      </c>
      <c r="F812" s="6" t="s">
        <v>692</v>
      </c>
      <c r="G812" s="15" t="str" cm="1">
        <f t="array" ref="G812">MultiMatchPrefix(Table_Data[[#This Row],[D ID]],Table_Mappings[Data ID],0,"",TRUE,";
")</f>
        <v/>
      </c>
      <c r="I812" s="19" t="s">
        <v>2632</v>
      </c>
      <c r="J812" s="19" t="s">
        <v>715</v>
      </c>
      <c r="M812" s="19" t="s">
        <v>2673</v>
      </c>
      <c r="N812" s="181">
        <v>100</v>
      </c>
    </row>
    <row r="813" spans="1:14" x14ac:dyDescent="0.25">
      <c r="A813" s="20" t="s">
        <v>2033</v>
      </c>
      <c r="B813" s="11" t="s">
        <v>640</v>
      </c>
      <c r="C813" s="6" t="s">
        <v>2019</v>
      </c>
      <c r="D813" s="6" t="s">
        <v>696</v>
      </c>
      <c r="E813" s="17"/>
      <c r="F813" s="6" t="s">
        <v>81</v>
      </c>
      <c r="G813" s="15" t="str" cm="1">
        <f t="array" ref="G813">MultiMatchPrefix(Table_Data[[#This Row],[D ID]],Table_Mappings[Data ID],0,"",TRUE,";
")</f>
        <v/>
      </c>
      <c r="I813" s="19" t="s">
        <v>2632</v>
      </c>
      <c r="J813" s="19" t="s">
        <v>715</v>
      </c>
      <c r="K813" s="19" t="s">
        <v>715</v>
      </c>
      <c r="L813" s="19" t="s">
        <v>2612</v>
      </c>
      <c r="N813" s="181">
        <v>100</v>
      </c>
    </row>
    <row r="814" spans="1:14" x14ac:dyDescent="0.25">
      <c r="A814" s="20" t="s">
        <v>2034</v>
      </c>
      <c r="B814" s="11" t="s">
        <v>643</v>
      </c>
      <c r="C814" s="6" t="s">
        <v>2019</v>
      </c>
      <c r="D814" s="6" t="s">
        <v>696</v>
      </c>
      <c r="E814" s="6" t="s">
        <v>2035</v>
      </c>
      <c r="F814" s="6" t="s">
        <v>81</v>
      </c>
      <c r="G814" s="15" t="str" cm="1">
        <f t="array" ref="G814">MultiMatchPrefix(Table_Data[[#This Row],[D ID]],Table_Mappings[Data ID],0,"",TRUE,";
")</f>
        <v/>
      </c>
    </row>
    <row r="815" spans="1:14" ht="13" x14ac:dyDescent="0.25">
      <c r="A815" s="20" t="s">
        <v>2036</v>
      </c>
      <c r="B815" s="11" t="s">
        <v>643</v>
      </c>
      <c r="C815" s="153" t="s">
        <v>2019</v>
      </c>
      <c r="D815" s="153" t="s">
        <v>696</v>
      </c>
      <c r="E815" s="153" t="s">
        <v>694</v>
      </c>
      <c r="F815" s="6" t="s">
        <v>692</v>
      </c>
      <c r="G815" s="15" t="str" cm="1">
        <f t="array" ref="G815">MultiMatchPrefix(Table_Data[[#This Row],[D ID]],Table_Mappings[Data ID],0,"",TRUE,";
")</f>
        <v/>
      </c>
      <c r="I815" s="19" t="s">
        <v>2632</v>
      </c>
      <c r="J815" s="19" t="s">
        <v>715</v>
      </c>
      <c r="M815" s="19" t="s">
        <v>2673</v>
      </c>
      <c r="N815" s="181">
        <v>100</v>
      </c>
    </row>
    <row r="816" spans="1:14" x14ac:dyDescent="0.25">
      <c r="A816" s="20" t="s">
        <v>2037</v>
      </c>
      <c r="B816" s="11" t="s">
        <v>640</v>
      </c>
      <c r="C816" s="6" t="s">
        <v>2019</v>
      </c>
      <c r="D816" s="6" t="s">
        <v>2038</v>
      </c>
      <c r="E816" s="17"/>
      <c r="F816" s="6" t="s">
        <v>81</v>
      </c>
      <c r="G816" s="15" t="str" cm="1">
        <f t="array" ref="G816">MultiMatchPrefix(Table_Data[[#This Row],[D ID]],Table_Mappings[Data ID],0,"",TRUE,";
")</f>
        <v/>
      </c>
    </row>
    <row r="817" spans="1:7" x14ac:dyDescent="0.25">
      <c r="A817" s="20" t="s">
        <v>2039</v>
      </c>
      <c r="B817" s="11" t="s">
        <v>643</v>
      </c>
      <c r="C817" s="6" t="s">
        <v>2019</v>
      </c>
      <c r="D817" s="6" t="s">
        <v>2038</v>
      </c>
      <c r="E817" s="6" t="s">
        <v>1061</v>
      </c>
      <c r="F817" s="6" t="s">
        <v>81</v>
      </c>
      <c r="G817" s="15" t="str" cm="1">
        <f t="array" ref="G817">MultiMatchPrefix(Table_Data[[#This Row],[D ID]],Table_Mappings[Data ID],0,"",TRUE,";
")</f>
        <v/>
      </c>
    </row>
    <row r="818" spans="1:7" x14ac:dyDescent="0.25">
      <c r="A818" s="20" t="s">
        <v>2040</v>
      </c>
      <c r="B818" s="11" t="s">
        <v>643</v>
      </c>
      <c r="C818" s="6" t="s">
        <v>2019</v>
      </c>
      <c r="D818" s="6" t="s">
        <v>2038</v>
      </c>
      <c r="E818" s="6" t="s">
        <v>650</v>
      </c>
      <c r="F818" s="6" t="s">
        <v>81</v>
      </c>
      <c r="G818" s="15" t="str" cm="1">
        <f t="array" ref="G818">MultiMatchPrefix(Table_Data[[#This Row],[D ID]],Table_Mappings[Data ID],0,"",TRUE,";
")</f>
        <v/>
      </c>
    </row>
    <row r="819" spans="1:7" x14ac:dyDescent="0.25">
      <c r="A819" s="20" t="s">
        <v>2041</v>
      </c>
      <c r="B819" s="11" t="s">
        <v>643</v>
      </c>
      <c r="C819" s="6" t="s">
        <v>2019</v>
      </c>
      <c r="D819" s="6" t="s">
        <v>2038</v>
      </c>
      <c r="E819" s="6" t="s">
        <v>684</v>
      </c>
      <c r="F819" s="6" t="s">
        <v>81</v>
      </c>
      <c r="G819" s="15" t="str" cm="1">
        <f t="array" ref="G819">MultiMatchPrefix(Table_Data[[#This Row],[D ID]],Table_Mappings[Data ID],0,"",TRUE,";
")</f>
        <v/>
      </c>
    </row>
    <row r="820" spans="1:7" x14ac:dyDescent="0.25">
      <c r="A820" s="20" t="s">
        <v>2042</v>
      </c>
      <c r="B820" s="11" t="s">
        <v>643</v>
      </c>
      <c r="C820" s="6" t="s">
        <v>2019</v>
      </c>
      <c r="D820" s="6" t="s">
        <v>2038</v>
      </c>
      <c r="E820" s="6" t="s">
        <v>1414</v>
      </c>
      <c r="F820" s="6" t="s">
        <v>81</v>
      </c>
      <c r="G820" s="15" t="str" cm="1">
        <f t="array" ref="G820">MultiMatchPrefix(Table_Data[[#This Row],[D ID]],Table_Mappings[Data ID],0,"",TRUE,";
")</f>
        <v/>
      </c>
    </row>
    <row r="821" spans="1:7" ht="25" x14ac:dyDescent="0.25">
      <c r="A821" s="20" t="s">
        <v>530</v>
      </c>
      <c r="B821" s="11" t="s">
        <v>79</v>
      </c>
      <c r="C821" s="6" t="s">
        <v>2043</v>
      </c>
      <c r="D821" s="17"/>
      <c r="E821" s="17"/>
      <c r="F821" s="6" t="s">
        <v>2044</v>
      </c>
      <c r="G821" s="15" t="str" cm="1">
        <f t="array" ref="G821">MultiMatchPrefix(Table_Data[[#This Row],[D ID]],Table_Mappings[Data ID],0,"",TRUE,";
")</f>
        <v>05.05 Donations (outbound)</v>
      </c>
    </row>
    <row r="822" spans="1:7" x14ac:dyDescent="0.25">
      <c r="A822" s="20" t="s">
        <v>2045</v>
      </c>
      <c r="B822" s="11" t="s">
        <v>640</v>
      </c>
      <c r="C822" s="6" t="s">
        <v>2043</v>
      </c>
      <c r="D822" s="6" t="s">
        <v>1263</v>
      </c>
      <c r="E822" s="17"/>
      <c r="F822" s="6" t="s">
        <v>81</v>
      </c>
      <c r="G822" s="15" t="str" cm="1">
        <f t="array" ref="G822">MultiMatchPrefix(Table_Data[[#This Row],[D ID]],Table_Mappings[Data ID],0,"",TRUE,";
")</f>
        <v/>
      </c>
    </row>
    <row r="823" spans="1:7" ht="13" x14ac:dyDescent="0.25">
      <c r="A823" s="20" t="s">
        <v>2046</v>
      </c>
      <c r="B823" s="11" t="s">
        <v>643</v>
      </c>
      <c r="C823" s="153" t="s">
        <v>2043</v>
      </c>
      <c r="D823" s="153" t="s">
        <v>1263</v>
      </c>
      <c r="E823" s="153" t="s">
        <v>2047</v>
      </c>
      <c r="F823" s="6" t="s">
        <v>2048</v>
      </c>
      <c r="G823" s="15" t="str" cm="1">
        <f t="array" ref="G823">MultiMatchPrefix(Table_Data[[#This Row],[D ID]],Table_Mappings[Data ID],0,"",TRUE,";
")</f>
        <v/>
      </c>
    </row>
    <row r="824" spans="1:7" x14ac:dyDescent="0.25">
      <c r="A824" s="20" t="s">
        <v>2049</v>
      </c>
      <c r="B824" s="11" t="s">
        <v>640</v>
      </c>
      <c r="C824" s="6" t="s">
        <v>2043</v>
      </c>
      <c r="D824" s="6" t="s">
        <v>2050</v>
      </c>
      <c r="E824" s="17"/>
      <c r="F824" s="6" t="s">
        <v>81</v>
      </c>
      <c r="G824" s="15" t="str" cm="1">
        <f t="array" ref="G824">MultiMatchPrefix(Table_Data[[#This Row],[D ID]],Table_Mappings[Data ID],0,"",TRUE,";
")</f>
        <v/>
      </c>
    </row>
    <row r="825" spans="1:7" ht="13" x14ac:dyDescent="0.25">
      <c r="A825" s="20" t="s">
        <v>2051</v>
      </c>
      <c r="B825" s="11" t="s">
        <v>643</v>
      </c>
      <c r="C825" s="153" t="s">
        <v>2043</v>
      </c>
      <c r="D825" s="153" t="s">
        <v>2050</v>
      </c>
      <c r="E825" s="153" t="s">
        <v>2047</v>
      </c>
      <c r="F825" s="6" t="s">
        <v>2048</v>
      </c>
      <c r="G825" s="15" t="str" cm="1">
        <f t="array" ref="G825">MultiMatchPrefix(Table_Data[[#This Row],[D ID]],Table_Mappings[Data ID],0,"",TRUE,";
")</f>
        <v/>
      </c>
    </row>
    <row r="826" spans="1:7" x14ac:dyDescent="0.25">
      <c r="A826" s="20" t="s">
        <v>532</v>
      </c>
      <c r="B826" s="11" t="s">
        <v>79</v>
      </c>
      <c r="C826" s="6" t="s">
        <v>2052</v>
      </c>
      <c r="D826" s="17"/>
      <c r="E826" s="17"/>
      <c r="F826" s="6" t="s">
        <v>2053</v>
      </c>
      <c r="G826" s="15" t="str" cm="1">
        <f t="array" ref="G826">MultiMatchPrefix(Table_Data[[#This Row],[D ID]],Table_Mappings[Data ID],0,"",TRUE,";
")</f>
        <v>05.06 Loans (outbound)</v>
      </c>
    </row>
    <row r="827" spans="1:7" x14ac:dyDescent="0.25">
      <c r="A827" s="20" t="s">
        <v>2054</v>
      </c>
      <c r="B827" s="11" t="s">
        <v>640</v>
      </c>
      <c r="C827" s="6" t="s">
        <v>2052</v>
      </c>
      <c r="D827" s="6" t="s">
        <v>2055</v>
      </c>
      <c r="E827" s="17"/>
      <c r="F827" s="6" t="s">
        <v>81</v>
      </c>
      <c r="G827" s="15" t="str" cm="1">
        <f t="array" ref="G827">MultiMatchPrefix(Table_Data[[#This Row],[D ID]],Table_Mappings[Data ID],0,"",TRUE,";
")</f>
        <v/>
      </c>
    </row>
    <row r="828" spans="1:7" x14ac:dyDescent="0.25">
      <c r="A828" s="20" t="s">
        <v>2056</v>
      </c>
      <c r="B828" s="11" t="s">
        <v>643</v>
      </c>
      <c r="C828" s="6" t="s">
        <v>2052</v>
      </c>
      <c r="D828" s="6" t="s">
        <v>2055</v>
      </c>
      <c r="E828" s="6" t="s">
        <v>1934</v>
      </c>
      <c r="F828" s="6" t="s">
        <v>81</v>
      </c>
      <c r="G828" s="15" t="str" cm="1">
        <f t="array" ref="G828">MultiMatchPrefix(Table_Data[[#This Row],[D ID]],Table_Mappings[Data ID],0,"",TRUE,";
")</f>
        <v/>
      </c>
    </row>
    <row r="829" spans="1:7" x14ac:dyDescent="0.25">
      <c r="A829" s="20" t="s">
        <v>2057</v>
      </c>
      <c r="B829" s="11" t="s">
        <v>643</v>
      </c>
      <c r="C829" s="6" t="s">
        <v>2052</v>
      </c>
      <c r="D829" s="6" t="s">
        <v>2055</v>
      </c>
      <c r="E829" s="6" t="s">
        <v>1936</v>
      </c>
      <c r="F829" s="6" t="s">
        <v>81</v>
      </c>
      <c r="G829" s="15" t="str" cm="1">
        <f t="array" ref="G829">MultiMatchPrefix(Table_Data[[#This Row],[D ID]],Table_Mappings[Data ID],0,"",TRUE,";
")</f>
        <v/>
      </c>
    </row>
    <row r="830" spans="1:7" x14ac:dyDescent="0.25">
      <c r="A830" s="20" t="s">
        <v>2058</v>
      </c>
      <c r="B830" s="11" t="s">
        <v>643</v>
      </c>
      <c r="C830" s="6" t="s">
        <v>2052</v>
      </c>
      <c r="D830" s="6" t="s">
        <v>2055</v>
      </c>
      <c r="E830" s="6" t="s">
        <v>1137</v>
      </c>
      <c r="F830" s="6" t="s">
        <v>81</v>
      </c>
      <c r="G830" s="15" t="str" cm="1">
        <f t="array" ref="G830">MultiMatchPrefix(Table_Data[[#This Row],[D ID]],Table_Mappings[Data ID],0,"",TRUE,";
")</f>
        <v/>
      </c>
    </row>
    <row r="831" spans="1:7" x14ac:dyDescent="0.25">
      <c r="A831" s="20" t="s">
        <v>2059</v>
      </c>
      <c r="B831" s="11" t="s">
        <v>643</v>
      </c>
      <c r="C831" s="6" t="s">
        <v>2052</v>
      </c>
      <c r="D831" s="6" t="s">
        <v>2055</v>
      </c>
      <c r="E831" s="6" t="s">
        <v>67</v>
      </c>
      <c r="F831" s="6" t="s">
        <v>2060</v>
      </c>
      <c r="G831" s="15" t="str" cm="1">
        <f t="array" ref="G831">MultiMatchPrefix(Table_Data[[#This Row],[D ID]],Table_Mappings[Data ID],0,"",TRUE,";
")</f>
        <v/>
      </c>
    </row>
    <row r="832" spans="1:7" x14ac:dyDescent="0.25">
      <c r="A832" s="20" t="s">
        <v>2061</v>
      </c>
      <c r="B832" s="11" t="s">
        <v>640</v>
      </c>
      <c r="C832" s="6" t="s">
        <v>2052</v>
      </c>
      <c r="D832" s="6" t="s">
        <v>2062</v>
      </c>
      <c r="E832" s="17"/>
      <c r="F832" s="6" t="s">
        <v>81</v>
      </c>
      <c r="G832" s="15" t="str" cm="1">
        <f t="array" ref="G832">MultiMatchPrefix(Table_Data[[#This Row],[D ID]],Table_Mappings[Data ID],0,"",TRUE,";
")</f>
        <v/>
      </c>
    </row>
    <row r="833" spans="1:14" ht="13" x14ac:dyDescent="0.25">
      <c r="A833" s="20" t="s">
        <v>2063</v>
      </c>
      <c r="B833" s="11" t="s">
        <v>643</v>
      </c>
      <c r="C833" s="153" t="s">
        <v>2052</v>
      </c>
      <c r="D833" s="153" t="s">
        <v>2062</v>
      </c>
      <c r="E833" s="153" t="s">
        <v>2047</v>
      </c>
      <c r="F833" s="6" t="s">
        <v>2048</v>
      </c>
      <c r="G833" s="15" t="str" cm="1">
        <f t="array" ref="G833">MultiMatchPrefix(Table_Data[[#This Row],[D ID]],Table_Mappings[Data ID],0,"",TRUE,";
")</f>
        <v/>
      </c>
    </row>
    <row r="834" spans="1:14" ht="37.5" x14ac:dyDescent="0.25">
      <c r="A834" s="20" t="s">
        <v>536</v>
      </c>
      <c r="B834" s="11" t="s">
        <v>79</v>
      </c>
      <c r="C834" s="6" t="s">
        <v>1389</v>
      </c>
      <c r="D834" s="17"/>
      <c r="E834" s="17"/>
      <c r="F834" s="6" t="s">
        <v>2064</v>
      </c>
      <c r="G834" s="15" t="str" cm="1">
        <f t="array" ref="G834">MultiMatchPrefix(Table_Data[[#This Row],[D ID]],Table_Mappings[Data ID],0,"",TRUE,";
")</f>
        <v>06.03 Delivery return from distribution;
06.04 Loan return reception;
06.05 Closure</v>
      </c>
    </row>
    <row r="835" spans="1:14" x14ac:dyDescent="0.25">
      <c r="A835" s="20" t="s">
        <v>2065</v>
      </c>
      <c r="B835" s="11" t="s">
        <v>640</v>
      </c>
      <c r="C835" s="6" t="s">
        <v>1389</v>
      </c>
      <c r="D835" s="6" t="s">
        <v>1392</v>
      </c>
      <c r="E835" s="17"/>
      <c r="F835" s="6" t="s">
        <v>81</v>
      </c>
      <c r="G835" s="15" t="str" cm="1">
        <f t="array" ref="G835">MultiMatchPrefix(Table_Data[[#This Row],[D ID]],Table_Mappings[Data ID],0,"",TRUE,";
")</f>
        <v/>
      </c>
    </row>
    <row r="836" spans="1:14" ht="13" x14ac:dyDescent="0.25">
      <c r="A836" s="20" t="s">
        <v>2066</v>
      </c>
      <c r="B836" s="11" t="s">
        <v>643</v>
      </c>
      <c r="C836" s="153" t="s">
        <v>1389</v>
      </c>
      <c r="D836" s="153" t="s">
        <v>1392</v>
      </c>
      <c r="E836" s="153" t="s">
        <v>2047</v>
      </c>
      <c r="F836" s="6" t="s">
        <v>2067</v>
      </c>
      <c r="G836" s="15" t="str" cm="1">
        <f t="array" ref="G836">MultiMatchPrefix(Table_Data[[#This Row],[D ID]],Table_Mappings[Data ID],0,"",TRUE,";
")</f>
        <v/>
      </c>
    </row>
    <row r="837" spans="1:14" x14ac:dyDescent="0.25">
      <c r="A837" s="20" t="s">
        <v>2068</v>
      </c>
      <c r="B837" s="11" t="s">
        <v>640</v>
      </c>
      <c r="C837" s="6" t="s">
        <v>1389</v>
      </c>
      <c r="D837" s="6" t="s">
        <v>733</v>
      </c>
      <c r="E837" s="17"/>
      <c r="F837" s="6" t="s">
        <v>81</v>
      </c>
      <c r="G837" s="15" t="str" cm="1">
        <f t="array" ref="G837">MultiMatchPrefix(Table_Data[[#This Row],[D ID]],Table_Mappings[Data ID],0,"",TRUE,";
")</f>
        <v/>
      </c>
      <c r="I837" s="19" t="s">
        <v>2632</v>
      </c>
      <c r="J837" s="19" t="s">
        <v>715</v>
      </c>
      <c r="K837" s="19" t="s">
        <v>715</v>
      </c>
      <c r="L837" s="19" t="s">
        <v>2612</v>
      </c>
      <c r="N837" s="181">
        <v>100</v>
      </c>
    </row>
    <row r="838" spans="1:14" ht="13" x14ac:dyDescent="0.25">
      <c r="A838" s="20" t="s">
        <v>2069</v>
      </c>
      <c r="B838" s="11" t="s">
        <v>643</v>
      </c>
      <c r="C838" s="153" t="s">
        <v>1389</v>
      </c>
      <c r="D838" s="153" t="s">
        <v>733</v>
      </c>
      <c r="E838" s="153" t="s">
        <v>2047</v>
      </c>
      <c r="F838" s="6" t="s">
        <v>2067</v>
      </c>
      <c r="G838" s="15" t="str" cm="1">
        <f t="array" ref="G838">MultiMatchPrefix(Table_Data[[#This Row],[D ID]],Table_Mappings[Data ID],0,"",TRUE,";
")</f>
        <v/>
      </c>
      <c r="I838" s="19" t="s">
        <v>2632</v>
      </c>
      <c r="J838" s="19" t="s">
        <v>715</v>
      </c>
      <c r="M838" s="19" t="s">
        <v>2673</v>
      </c>
      <c r="N838" s="181">
        <v>100</v>
      </c>
    </row>
    <row r="839" spans="1:14" x14ac:dyDescent="0.25">
      <c r="A839" s="20" t="s">
        <v>2070</v>
      </c>
      <c r="B839" s="11" t="s">
        <v>640</v>
      </c>
      <c r="C839" s="6" t="s">
        <v>1389</v>
      </c>
      <c r="D839" s="6" t="s">
        <v>932</v>
      </c>
      <c r="E839" s="17"/>
      <c r="F839" s="6" t="s">
        <v>81</v>
      </c>
      <c r="G839" s="15" t="str" cm="1">
        <f t="array" ref="G839">MultiMatchPrefix(Table_Data[[#This Row],[D ID]],Table_Mappings[Data ID],0,"",TRUE,";
")</f>
        <v/>
      </c>
      <c r="I839" s="19" t="s">
        <v>2632</v>
      </c>
      <c r="J839" s="19" t="s">
        <v>715</v>
      </c>
      <c r="K839" s="19" t="s">
        <v>715</v>
      </c>
      <c r="L839" s="19" t="s">
        <v>2612</v>
      </c>
      <c r="N839" s="181">
        <v>100</v>
      </c>
    </row>
    <row r="840" spans="1:14" ht="13" x14ac:dyDescent="0.25">
      <c r="A840" s="20" t="s">
        <v>2071</v>
      </c>
      <c r="B840" s="11" t="s">
        <v>643</v>
      </c>
      <c r="C840" s="153" t="s">
        <v>1389</v>
      </c>
      <c r="D840" s="153" t="s">
        <v>932</v>
      </c>
      <c r="E840" s="153" t="s">
        <v>2047</v>
      </c>
      <c r="F840" s="6" t="s">
        <v>2067</v>
      </c>
      <c r="G840" s="15" t="str" cm="1">
        <f t="array" ref="G840">MultiMatchPrefix(Table_Data[[#This Row],[D ID]],Table_Mappings[Data ID],0,"",TRUE,";
")</f>
        <v/>
      </c>
      <c r="I840" s="19" t="s">
        <v>2632</v>
      </c>
      <c r="J840" s="19" t="s">
        <v>715</v>
      </c>
      <c r="M840" s="19" t="s">
        <v>2673</v>
      </c>
      <c r="N840" s="181">
        <v>100</v>
      </c>
    </row>
    <row r="841" spans="1:14" x14ac:dyDescent="0.25">
      <c r="A841" s="20" t="s">
        <v>2072</v>
      </c>
      <c r="B841" s="11" t="s">
        <v>640</v>
      </c>
      <c r="C841" s="6" t="s">
        <v>1389</v>
      </c>
      <c r="D841" s="6" t="s">
        <v>1406</v>
      </c>
      <c r="E841" s="17"/>
      <c r="F841" s="6" t="s">
        <v>81</v>
      </c>
      <c r="G841" s="15" t="str" cm="1">
        <f t="array" ref="G841">MultiMatchPrefix(Table_Data[[#This Row],[D ID]],Table_Mappings[Data ID],0,"",TRUE,";
")</f>
        <v/>
      </c>
    </row>
    <row r="842" spans="1:14" ht="13" x14ac:dyDescent="0.25">
      <c r="A842" s="20" t="s">
        <v>2073</v>
      </c>
      <c r="B842" s="11" t="s">
        <v>643</v>
      </c>
      <c r="C842" s="153" t="s">
        <v>1389</v>
      </c>
      <c r="D842" s="153" t="s">
        <v>1406</v>
      </c>
      <c r="E842" s="153" t="s">
        <v>2047</v>
      </c>
      <c r="F842" s="6" t="s">
        <v>2067</v>
      </c>
      <c r="G842" s="15" t="str" cm="1">
        <f t="array" ref="G842">MultiMatchPrefix(Table_Data[[#This Row],[D ID]],Table_Mappings[Data ID],0,"",TRUE,";
")</f>
        <v/>
      </c>
    </row>
    <row r="843" spans="1:14" ht="50" x14ac:dyDescent="0.25">
      <c r="A843" s="20" t="s">
        <v>540</v>
      </c>
      <c r="B843" s="11" t="s">
        <v>79</v>
      </c>
      <c r="C843" s="6" t="s">
        <v>2074</v>
      </c>
      <c r="D843" s="17"/>
      <c r="E843" s="17"/>
      <c r="F843" s="6" t="s">
        <v>2075</v>
      </c>
      <c r="G843" s="15" t="str" cm="1">
        <f t="array" ref="G843">MultiMatchPrefix(Table_Data[[#This Row],[D ID]],Table_Mappings[Data ID],0,"",TRUE,";
")</f>
        <v xml:space="preserve">07.01 Asset Management planning </v>
      </c>
      <c r="I843" s="19" t="s">
        <v>2668</v>
      </c>
      <c r="J843" s="19" t="s">
        <v>2712</v>
      </c>
      <c r="M843" s="19" t="s">
        <v>2721</v>
      </c>
      <c r="N843" s="181">
        <v>100</v>
      </c>
    </row>
    <row r="844" spans="1:14" x14ac:dyDescent="0.25">
      <c r="A844" s="20" t="s">
        <v>2076</v>
      </c>
      <c r="B844" s="11" t="s">
        <v>640</v>
      </c>
      <c r="C844" s="6" t="s">
        <v>2074</v>
      </c>
      <c r="D844" s="6" t="s">
        <v>2077</v>
      </c>
      <c r="E844" s="17"/>
      <c r="F844" s="6" t="s">
        <v>81</v>
      </c>
      <c r="G844" s="15" t="str" cm="1">
        <f t="array" ref="G844">MultiMatchPrefix(Table_Data[[#This Row],[D ID]],Table_Mappings[Data ID],0,"",TRUE,";
")</f>
        <v/>
      </c>
    </row>
    <row r="845" spans="1:14" x14ac:dyDescent="0.25">
      <c r="A845" s="20" t="s">
        <v>2078</v>
      </c>
      <c r="B845" s="11" t="s">
        <v>643</v>
      </c>
      <c r="C845" s="6" t="s">
        <v>2074</v>
      </c>
      <c r="D845" s="6" t="s">
        <v>2077</v>
      </c>
      <c r="E845" s="6" t="s">
        <v>2079</v>
      </c>
      <c r="F845" s="6" t="s">
        <v>81</v>
      </c>
      <c r="G845" s="15" t="str" cm="1">
        <f t="array" ref="G845">MultiMatchPrefix(Table_Data[[#This Row],[D ID]],Table_Mappings[Data ID],0,"",TRUE,";
")</f>
        <v/>
      </c>
    </row>
    <row r="846" spans="1:14" x14ac:dyDescent="0.25">
      <c r="A846" s="20" t="s">
        <v>2080</v>
      </c>
      <c r="B846" s="11" t="s">
        <v>643</v>
      </c>
      <c r="C846" s="6" t="s">
        <v>2074</v>
      </c>
      <c r="D846" s="6" t="s">
        <v>2077</v>
      </c>
      <c r="E846" s="6" t="s">
        <v>2081</v>
      </c>
      <c r="F846" s="6" t="s">
        <v>81</v>
      </c>
      <c r="G846" s="15" t="str" cm="1">
        <f t="array" ref="G846">MultiMatchPrefix(Table_Data[[#This Row],[D ID]],Table_Mappings[Data ID],0,"",TRUE,";
")</f>
        <v/>
      </c>
    </row>
    <row r="847" spans="1:14" x14ac:dyDescent="0.25">
      <c r="A847" s="20" t="s">
        <v>2082</v>
      </c>
      <c r="B847" s="11" t="s">
        <v>643</v>
      </c>
      <c r="C847" s="6" t="s">
        <v>2074</v>
      </c>
      <c r="D847" s="6" t="s">
        <v>2077</v>
      </c>
      <c r="E847" s="6" t="s">
        <v>650</v>
      </c>
      <c r="F847" s="6" t="s">
        <v>81</v>
      </c>
      <c r="G847" s="15" t="str" cm="1">
        <f t="array" ref="G847">MultiMatchPrefix(Table_Data[[#This Row],[D ID]],Table_Mappings[Data ID],0,"",TRUE,";
")</f>
        <v/>
      </c>
    </row>
    <row r="848" spans="1:14" x14ac:dyDescent="0.25">
      <c r="A848" s="20" t="s">
        <v>2083</v>
      </c>
      <c r="B848" s="11" t="s">
        <v>640</v>
      </c>
      <c r="C848" s="6" t="s">
        <v>2074</v>
      </c>
      <c r="D848" s="6" t="s">
        <v>1900</v>
      </c>
      <c r="E848" s="17"/>
      <c r="F848" s="6" t="s">
        <v>2084</v>
      </c>
      <c r="G848" s="15" t="str" cm="1">
        <f t="array" ref="G848">MultiMatchPrefix(Table_Data[[#This Row],[D ID]],Table_Mappings[Data ID],0,"",TRUE,";
")</f>
        <v/>
      </c>
    </row>
    <row r="849" spans="1:14" x14ac:dyDescent="0.25">
      <c r="A849" s="20" t="s">
        <v>2085</v>
      </c>
      <c r="B849" s="11" t="s">
        <v>643</v>
      </c>
      <c r="C849" s="6" t="s">
        <v>2074</v>
      </c>
      <c r="D849" s="6" t="s">
        <v>1900</v>
      </c>
      <c r="E849" s="6" t="s">
        <v>652</v>
      </c>
      <c r="F849" s="6" t="s">
        <v>81</v>
      </c>
      <c r="G849" s="15" t="str" cm="1">
        <f t="array" ref="G849">MultiMatchPrefix(Table_Data[[#This Row],[D ID]],Table_Mappings[Data ID],0,"",TRUE,";
")</f>
        <v/>
      </c>
    </row>
    <row r="850" spans="1:14" ht="50" x14ac:dyDescent="0.25">
      <c r="A850" s="20" t="s">
        <v>542</v>
      </c>
      <c r="B850" s="11" t="s">
        <v>79</v>
      </c>
      <c r="C850" s="6" t="s">
        <v>2086</v>
      </c>
      <c r="D850" s="17"/>
      <c r="E850" s="17"/>
      <c r="F850" s="6" t="s">
        <v>2087</v>
      </c>
      <c r="G850" s="15" t="str" cm="1">
        <f t="array" ref="G850">MultiMatchPrefix(Table_Data[[#This Row],[D ID]],Table_Mappings[Data ID],0,"",TRUE,";
")</f>
        <v xml:space="preserve">07.01 Asset Management planning </v>
      </c>
      <c r="I850" s="19" t="s">
        <v>2668</v>
      </c>
      <c r="J850" s="19" t="s">
        <v>2712</v>
      </c>
      <c r="M850" s="19" t="s">
        <v>2721</v>
      </c>
      <c r="N850" s="181">
        <v>100</v>
      </c>
    </row>
    <row r="851" spans="1:14" x14ac:dyDescent="0.25">
      <c r="A851" s="20" t="s">
        <v>2088</v>
      </c>
      <c r="B851" s="11" t="s">
        <v>640</v>
      </c>
      <c r="C851" s="6" t="s">
        <v>2086</v>
      </c>
      <c r="D851" s="6" t="s">
        <v>2077</v>
      </c>
      <c r="E851" s="17"/>
      <c r="F851" s="6" t="s">
        <v>81</v>
      </c>
      <c r="G851" s="15" t="str" cm="1">
        <f t="array" ref="G851">MultiMatchPrefix(Table_Data[[#This Row],[D ID]],Table_Mappings[Data ID],0,"",TRUE,";
")</f>
        <v/>
      </c>
    </row>
    <row r="852" spans="1:14" x14ac:dyDescent="0.25">
      <c r="A852" s="20" t="s">
        <v>2089</v>
      </c>
      <c r="B852" s="11" t="s">
        <v>643</v>
      </c>
      <c r="C852" s="6" t="s">
        <v>2086</v>
      </c>
      <c r="D852" s="6" t="s">
        <v>2077</v>
      </c>
      <c r="E852" s="6" t="s">
        <v>2079</v>
      </c>
      <c r="F852" s="6" t="s">
        <v>81</v>
      </c>
      <c r="G852" s="15" t="str" cm="1">
        <f t="array" ref="G852">MultiMatchPrefix(Table_Data[[#This Row],[D ID]],Table_Mappings[Data ID],0,"",TRUE,";
")</f>
        <v/>
      </c>
    </row>
    <row r="853" spans="1:14" x14ac:dyDescent="0.25">
      <c r="A853" s="20" t="s">
        <v>2090</v>
      </c>
      <c r="B853" s="11" t="s">
        <v>643</v>
      </c>
      <c r="C853" s="6" t="s">
        <v>2086</v>
      </c>
      <c r="D853" s="6" t="s">
        <v>2077</v>
      </c>
      <c r="E853" s="6" t="s">
        <v>2081</v>
      </c>
      <c r="F853" s="6" t="s">
        <v>81</v>
      </c>
      <c r="G853" s="15" t="str" cm="1">
        <f t="array" ref="G853">MultiMatchPrefix(Table_Data[[#This Row],[D ID]],Table_Mappings[Data ID],0,"",TRUE,";
")</f>
        <v/>
      </c>
    </row>
    <row r="854" spans="1:14" x14ac:dyDescent="0.25">
      <c r="A854" s="20" t="s">
        <v>2091</v>
      </c>
      <c r="B854" s="11" t="s">
        <v>643</v>
      </c>
      <c r="C854" s="6" t="s">
        <v>2086</v>
      </c>
      <c r="D854" s="6" t="s">
        <v>2077</v>
      </c>
      <c r="E854" s="6" t="s">
        <v>650</v>
      </c>
      <c r="F854" s="6" t="s">
        <v>81</v>
      </c>
      <c r="G854" s="15" t="str" cm="1">
        <f t="array" ref="G854">MultiMatchPrefix(Table_Data[[#This Row],[D ID]],Table_Mappings[Data ID],0,"",TRUE,";
")</f>
        <v/>
      </c>
    </row>
    <row r="855" spans="1:14" x14ac:dyDescent="0.25">
      <c r="A855" s="20" t="s">
        <v>2092</v>
      </c>
      <c r="B855" s="11" t="s">
        <v>640</v>
      </c>
      <c r="C855" s="6" t="s">
        <v>2086</v>
      </c>
      <c r="D855" s="6" t="s">
        <v>2093</v>
      </c>
      <c r="E855" s="17"/>
      <c r="F855" s="6" t="s">
        <v>2012</v>
      </c>
      <c r="G855" s="15" t="str" cm="1">
        <f t="array" ref="G855">MultiMatchPrefix(Table_Data[[#This Row],[D ID]],Table_Mappings[Data ID],0,"",TRUE,";
")</f>
        <v/>
      </c>
    </row>
    <row r="856" spans="1:14" x14ac:dyDescent="0.25">
      <c r="A856" s="20" t="s">
        <v>2094</v>
      </c>
      <c r="B856" s="11" t="s">
        <v>643</v>
      </c>
      <c r="C856" s="6" t="s">
        <v>2086</v>
      </c>
      <c r="D856" s="6" t="s">
        <v>2093</v>
      </c>
      <c r="E856" s="6" t="s">
        <v>652</v>
      </c>
      <c r="F856" s="6" t="s">
        <v>81</v>
      </c>
      <c r="G856" s="15" t="str" cm="1">
        <f t="array" ref="G856">MultiMatchPrefix(Table_Data[[#This Row],[D ID]],Table_Mappings[Data ID],0,"",TRUE,";
")</f>
        <v/>
      </c>
    </row>
    <row r="857" spans="1:14" ht="50" x14ac:dyDescent="0.25">
      <c r="A857" s="20" t="s">
        <v>544</v>
      </c>
      <c r="B857" s="11" t="s">
        <v>79</v>
      </c>
      <c r="C857" s="6" t="s">
        <v>2095</v>
      </c>
      <c r="D857" s="17"/>
      <c r="E857" s="17"/>
      <c r="F857" s="6" t="s">
        <v>2096</v>
      </c>
      <c r="G857" s="15" t="str" cm="1">
        <f t="array" ref="G857">MultiMatchPrefix(Table_Data[[#This Row],[D ID]],Table_Mappings[Data ID],0,"",TRUE,";
")</f>
        <v xml:space="preserve">07.02 Asset reception and registration;
07.03 Asset assignement </v>
      </c>
      <c r="I857" s="19" t="s">
        <v>2668</v>
      </c>
      <c r="J857" s="19" t="s">
        <v>2712</v>
      </c>
      <c r="M857" s="19" t="s">
        <v>2721</v>
      </c>
      <c r="N857" s="181">
        <v>100</v>
      </c>
    </row>
    <row r="858" spans="1:14" x14ac:dyDescent="0.25">
      <c r="A858" s="20" t="s">
        <v>2097</v>
      </c>
      <c r="B858" s="11" t="s">
        <v>640</v>
      </c>
      <c r="C858" s="6" t="s">
        <v>2095</v>
      </c>
      <c r="D858" s="6" t="s">
        <v>2077</v>
      </c>
      <c r="E858" s="17"/>
      <c r="F858" s="6" t="s">
        <v>81</v>
      </c>
      <c r="G858" s="15" t="str" cm="1">
        <f t="array" ref="G858">MultiMatchPrefix(Table_Data[[#This Row],[D ID]],Table_Mappings[Data ID],0,"",TRUE,";
")</f>
        <v/>
      </c>
      <c r="I858" s="19" t="s">
        <v>2632</v>
      </c>
      <c r="J858" s="19" t="s">
        <v>2694</v>
      </c>
      <c r="K858" s="19" t="s">
        <v>2694</v>
      </c>
      <c r="L858" s="19" t="s">
        <v>2695</v>
      </c>
      <c r="N858" s="181">
        <v>100</v>
      </c>
    </row>
    <row r="859" spans="1:14" x14ac:dyDescent="0.25">
      <c r="A859" s="20" t="s">
        <v>2098</v>
      </c>
      <c r="B859" s="11" t="s">
        <v>643</v>
      </c>
      <c r="C859" s="6" t="s">
        <v>2095</v>
      </c>
      <c r="D859" s="6" t="s">
        <v>2077</v>
      </c>
      <c r="E859" s="6" t="s">
        <v>1934</v>
      </c>
      <c r="F859" s="6" t="s">
        <v>81</v>
      </c>
      <c r="G859" s="15" t="str" cm="1">
        <f t="array" ref="G859">MultiMatchPrefix(Table_Data[[#This Row],[D ID]],Table_Mappings[Data ID],0,"",TRUE,";
")</f>
        <v/>
      </c>
      <c r="I859" s="19" t="s">
        <v>2632</v>
      </c>
      <c r="J859" s="19" t="s">
        <v>2694</v>
      </c>
      <c r="K859" s="19" t="s">
        <v>2659</v>
      </c>
      <c r="L859" s="19" t="s">
        <v>2660</v>
      </c>
      <c r="N859" s="181" t="s">
        <v>2639</v>
      </c>
    </row>
    <row r="860" spans="1:14" x14ac:dyDescent="0.25">
      <c r="A860" s="20" t="s">
        <v>2099</v>
      </c>
      <c r="B860" s="11" t="s">
        <v>643</v>
      </c>
      <c r="C860" s="6" t="s">
        <v>2095</v>
      </c>
      <c r="D860" s="6" t="s">
        <v>2077</v>
      </c>
      <c r="E860" s="6" t="s">
        <v>1936</v>
      </c>
      <c r="F860" s="6" t="s">
        <v>81</v>
      </c>
      <c r="G860" s="15" t="str" cm="1">
        <f t="array" ref="G860">MultiMatchPrefix(Table_Data[[#This Row],[D ID]],Table_Mappings[Data ID],0,"",TRUE,";
")</f>
        <v/>
      </c>
      <c r="I860" s="19" t="s">
        <v>2632</v>
      </c>
      <c r="J860" s="19" t="s">
        <v>2694</v>
      </c>
      <c r="K860" s="19" t="s">
        <v>1216</v>
      </c>
      <c r="L860" s="19" t="s">
        <v>2614</v>
      </c>
      <c r="N860" s="181">
        <v>100</v>
      </c>
    </row>
    <row r="861" spans="1:14" ht="25" x14ac:dyDescent="0.25">
      <c r="A861" s="20" t="s">
        <v>2100</v>
      </c>
      <c r="B861" s="11" t="s">
        <v>643</v>
      </c>
      <c r="C861" s="6" t="s">
        <v>2095</v>
      </c>
      <c r="D861" s="6" t="s">
        <v>2077</v>
      </c>
      <c r="E861" s="6" t="s">
        <v>2081</v>
      </c>
      <c r="F861" s="6" t="s">
        <v>81</v>
      </c>
      <c r="G861" s="15" t="str" cm="1">
        <f t="array" ref="G861">MultiMatchPrefix(Table_Data[[#This Row],[D ID]],Table_Mappings[Data ID],0,"",TRUE,";
")</f>
        <v/>
      </c>
      <c r="I861" s="19" t="s">
        <v>2632</v>
      </c>
      <c r="J861" s="19" t="s">
        <v>2694</v>
      </c>
      <c r="K861" s="19" t="s">
        <v>2722</v>
      </c>
      <c r="L861" s="19" t="s">
        <v>2723</v>
      </c>
      <c r="N861" s="181">
        <v>100</v>
      </c>
    </row>
    <row r="862" spans="1:14" x14ac:dyDescent="0.25">
      <c r="A862" s="20" t="s">
        <v>2101</v>
      </c>
      <c r="B862" s="11" t="s">
        <v>643</v>
      </c>
      <c r="C862" s="6" t="s">
        <v>2095</v>
      </c>
      <c r="D862" s="6" t="s">
        <v>2077</v>
      </c>
      <c r="E862" s="6" t="s">
        <v>2102</v>
      </c>
      <c r="F862" s="6" t="s">
        <v>81</v>
      </c>
      <c r="G862" s="15" t="str" cm="1">
        <f t="array" ref="G862">MultiMatchPrefix(Table_Data[[#This Row],[D ID]],Table_Mappings[Data ID],0,"",TRUE,";
")</f>
        <v/>
      </c>
      <c r="I862" s="19" t="s">
        <v>2632</v>
      </c>
      <c r="J862" s="19" t="s">
        <v>2694</v>
      </c>
      <c r="K862" s="19" t="s">
        <v>2724</v>
      </c>
      <c r="L862" s="19" t="s">
        <v>2725</v>
      </c>
      <c r="N862" s="181">
        <v>100</v>
      </c>
    </row>
    <row r="863" spans="1:14" x14ac:dyDescent="0.25">
      <c r="A863" s="20" t="s">
        <v>2103</v>
      </c>
      <c r="B863" s="11" t="s">
        <v>643</v>
      </c>
      <c r="C863" s="6" t="s">
        <v>2095</v>
      </c>
      <c r="D863" s="6" t="s">
        <v>2077</v>
      </c>
      <c r="E863" s="6" t="s">
        <v>1759</v>
      </c>
      <c r="F863" s="6" t="s">
        <v>81</v>
      </c>
      <c r="G863" s="15" t="str" cm="1">
        <f t="array" ref="G863">MultiMatchPrefix(Table_Data[[#This Row],[D ID]],Table_Mappings[Data ID],0,"",TRUE,";
")</f>
        <v/>
      </c>
      <c r="I863" s="19" t="s">
        <v>2632</v>
      </c>
      <c r="J863" s="19" t="s">
        <v>2694</v>
      </c>
      <c r="K863" s="19" t="s">
        <v>2726</v>
      </c>
      <c r="L863" s="19" t="s">
        <v>2727</v>
      </c>
      <c r="N863" s="181" t="s">
        <v>2639</v>
      </c>
    </row>
    <row r="864" spans="1:14" x14ac:dyDescent="0.25">
      <c r="A864" s="20" t="s">
        <v>2104</v>
      </c>
      <c r="B864" s="11" t="s">
        <v>643</v>
      </c>
      <c r="C864" s="6" t="s">
        <v>2095</v>
      </c>
      <c r="D864" s="6" t="s">
        <v>2077</v>
      </c>
      <c r="E864" s="6" t="s">
        <v>2105</v>
      </c>
      <c r="F864" s="6" t="s">
        <v>81</v>
      </c>
      <c r="G864" s="15" t="str" cm="1">
        <f t="array" ref="G864">MultiMatchPrefix(Table_Data[[#This Row],[D ID]],Table_Mappings[Data ID],0,"",TRUE,";
")</f>
        <v/>
      </c>
      <c r="I864" s="19" t="s">
        <v>2632</v>
      </c>
      <c r="J864" s="19" t="s">
        <v>2694</v>
      </c>
      <c r="K864" s="19" t="s">
        <v>635</v>
      </c>
      <c r="L864" s="19" t="s">
        <v>2655</v>
      </c>
      <c r="N864" s="181">
        <v>100</v>
      </c>
    </row>
    <row r="865" spans="1:14" x14ac:dyDescent="0.25">
      <c r="A865" s="20" t="s">
        <v>2106</v>
      </c>
      <c r="B865" s="11" t="s">
        <v>643</v>
      </c>
      <c r="C865" s="6" t="s">
        <v>2095</v>
      </c>
      <c r="D865" s="6" t="s">
        <v>2077</v>
      </c>
      <c r="E865" s="6" t="s">
        <v>2107</v>
      </c>
      <c r="F865" s="6" t="s">
        <v>81</v>
      </c>
      <c r="G865" s="15" t="str" cm="1">
        <f t="array" ref="G865">MultiMatchPrefix(Table_Data[[#This Row],[D ID]],Table_Mappings[Data ID],0,"",TRUE,";
")</f>
        <v/>
      </c>
      <c r="I865" s="19" t="s">
        <v>2632</v>
      </c>
      <c r="J865" s="19" t="s">
        <v>2694</v>
      </c>
      <c r="K865" s="19" t="s">
        <v>635</v>
      </c>
      <c r="L865" s="19" t="s">
        <v>2655</v>
      </c>
      <c r="N865" s="181">
        <v>100</v>
      </c>
    </row>
    <row r="866" spans="1:14" x14ac:dyDescent="0.25">
      <c r="A866" s="20" t="s">
        <v>2108</v>
      </c>
      <c r="B866" s="11" t="s">
        <v>643</v>
      </c>
      <c r="C866" s="6" t="s">
        <v>2095</v>
      </c>
      <c r="D866" s="6" t="s">
        <v>2077</v>
      </c>
      <c r="E866" s="6" t="s">
        <v>870</v>
      </c>
      <c r="F866" s="6" t="s">
        <v>81</v>
      </c>
      <c r="G866" s="15" t="str" cm="1">
        <f t="array" ref="G866">MultiMatchPrefix(Table_Data[[#This Row],[D ID]],Table_Mappings[Data ID],0,"",TRUE,";
")</f>
        <v/>
      </c>
      <c r="I866" s="19" t="s">
        <v>2632</v>
      </c>
      <c r="J866" s="19" t="s">
        <v>2694</v>
      </c>
      <c r="K866" s="19" t="s">
        <v>1025</v>
      </c>
      <c r="L866" s="19" t="s">
        <v>2728</v>
      </c>
      <c r="N866" s="181" t="s">
        <v>2639</v>
      </c>
    </row>
    <row r="867" spans="1:14" ht="50" x14ac:dyDescent="0.25">
      <c r="A867" s="20" t="s">
        <v>2109</v>
      </c>
      <c r="B867" s="11" t="s">
        <v>640</v>
      </c>
      <c r="C867" s="6" t="s">
        <v>2095</v>
      </c>
      <c r="D867" s="6" t="s">
        <v>2110</v>
      </c>
      <c r="E867" s="17"/>
      <c r="F867" s="6" t="s">
        <v>2111</v>
      </c>
      <c r="G867" s="15" t="str" cm="1">
        <f t="array" ref="G867">MultiMatchPrefix(Table_Data[[#This Row],[D ID]],Table_Mappings[Data ID],0,"",TRUE,";
")</f>
        <v/>
      </c>
      <c r="I867" s="19" t="s">
        <v>2668</v>
      </c>
      <c r="J867" s="19" t="s">
        <v>2712</v>
      </c>
      <c r="M867" s="19" t="s">
        <v>2721</v>
      </c>
      <c r="N867" s="181">
        <v>100</v>
      </c>
    </row>
    <row r="868" spans="1:14" x14ac:dyDescent="0.25">
      <c r="A868" s="20" t="s">
        <v>2112</v>
      </c>
      <c r="B868" s="11" t="s">
        <v>643</v>
      </c>
      <c r="C868" s="6" t="s">
        <v>2095</v>
      </c>
      <c r="D868" s="6" t="s">
        <v>2110</v>
      </c>
      <c r="E868" s="6" t="s">
        <v>2113</v>
      </c>
      <c r="F868" s="6" t="s">
        <v>81</v>
      </c>
      <c r="G868" s="15" t="str" cm="1">
        <f t="array" ref="G868">MultiMatchPrefix(Table_Data[[#This Row],[D ID]],Table_Mappings[Data ID],0,"",TRUE,";
")</f>
        <v/>
      </c>
    </row>
    <row r="869" spans="1:14" x14ac:dyDescent="0.25">
      <c r="A869" s="20" t="s">
        <v>2114</v>
      </c>
      <c r="B869" s="11" t="s">
        <v>643</v>
      </c>
      <c r="C869" s="6" t="s">
        <v>2095</v>
      </c>
      <c r="D869" s="6" t="s">
        <v>2110</v>
      </c>
      <c r="E869" s="6" t="s">
        <v>2115</v>
      </c>
      <c r="F869" s="6" t="s">
        <v>81</v>
      </c>
      <c r="G869" s="15" t="str" cm="1">
        <f t="array" ref="G869">MultiMatchPrefix(Table_Data[[#This Row],[D ID]],Table_Mappings[Data ID],0,"",TRUE,";
")</f>
        <v/>
      </c>
    </row>
    <row r="870" spans="1:14" x14ac:dyDescent="0.25">
      <c r="A870" s="20" t="s">
        <v>2116</v>
      </c>
      <c r="B870" s="11" t="s">
        <v>643</v>
      </c>
      <c r="C870" s="6" t="s">
        <v>2095</v>
      </c>
      <c r="D870" s="6" t="s">
        <v>2110</v>
      </c>
      <c r="E870" s="6" t="s">
        <v>2117</v>
      </c>
      <c r="F870" s="6" t="s">
        <v>2118</v>
      </c>
      <c r="G870" s="15" t="str" cm="1">
        <f t="array" ref="G870">MultiMatchPrefix(Table_Data[[#This Row],[D ID]],Table_Mappings[Data ID],0,"",TRUE,";
")</f>
        <v/>
      </c>
    </row>
    <row r="871" spans="1:14" x14ac:dyDescent="0.25">
      <c r="A871" s="20" t="s">
        <v>2119</v>
      </c>
      <c r="B871" s="11" t="s">
        <v>643</v>
      </c>
      <c r="C871" s="6" t="s">
        <v>2095</v>
      </c>
      <c r="D871" s="6" t="s">
        <v>2110</v>
      </c>
      <c r="E871" s="6" t="s">
        <v>2120</v>
      </c>
      <c r="F871" s="6" t="s">
        <v>81</v>
      </c>
      <c r="G871" s="15" t="str" cm="1">
        <f t="array" ref="G871">MultiMatchPrefix(Table_Data[[#This Row],[D ID]],Table_Mappings[Data ID],0,"",TRUE,";
")</f>
        <v/>
      </c>
    </row>
    <row r="872" spans="1:14" x14ac:dyDescent="0.25">
      <c r="A872" s="20" t="s">
        <v>2121</v>
      </c>
      <c r="B872" s="11" t="s">
        <v>643</v>
      </c>
      <c r="C872" s="6" t="s">
        <v>2095</v>
      </c>
      <c r="D872" s="6" t="s">
        <v>2110</v>
      </c>
      <c r="E872" s="6" t="s">
        <v>2122</v>
      </c>
      <c r="F872" s="6" t="s">
        <v>81</v>
      </c>
      <c r="G872" s="15" t="str" cm="1">
        <f t="array" ref="G872">MultiMatchPrefix(Table_Data[[#This Row],[D ID]],Table_Mappings[Data ID],0,"",TRUE,";
")</f>
        <v/>
      </c>
    </row>
    <row r="873" spans="1:14" x14ac:dyDescent="0.25">
      <c r="A873" s="20" t="s">
        <v>2123</v>
      </c>
      <c r="B873" s="11" t="s">
        <v>640</v>
      </c>
      <c r="C873" s="6" t="s">
        <v>2095</v>
      </c>
      <c r="D873" s="6" t="s">
        <v>2124</v>
      </c>
      <c r="E873" s="17"/>
      <c r="F873" s="6" t="s">
        <v>81</v>
      </c>
      <c r="G873" s="15" t="str" cm="1">
        <f t="array" ref="G873">MultiMatchPrefix(Table_Data[[#This Row],[D ID]],Table_Mappings[Data ID],0,"",TRUE,";
")</f>
        <v/>
      </c>
    </row>
    <row r="874" spans="1:14" x14ac:dyDescent="0.25">
      <c r="A874" s="20" t="s">
        <v>2125</v>
      </c>
      <c r="B874" s="11" t="s">
        <v>643</v>
      </c>
      <c r="C874" s="6" t="s">
        <v>2095</v>
      </c>
      <c r="D874" s="6" t="s">
        <v>2124</v>
      </c>
      <c r="E874" s="6" t="s">
        <v>2126</v>
      </c>
      <c r="F874" s="6" t="s">
        <v>81</v>
      </c>
      <c r="G874" s="15" t="str" cm="1">
        <f t="array" ref="G874">MultiMatchPrefix(Table_Data[[#This Row],[D ID]],Table_Mappings[Data ID],0,"",TRUE,";
")</f>
        <v/>
      </c>
    </row>
    <row r="875" spans="1:14" x14ac:dyDescent="0.25">
      <c r="A875" s="20" t="s">
        <v>2127</v>
      </c>
      <c r="B875" s="11" t="s">
        <v>643</v>
      </c>
      <c r="C875" s="6" t="s">
        <v>2095</v>
      </c>
      <c r="D875" s="6" t="s">
        <v>2124</v>
      </c>
      <c r="E875" s="6" t="s">
        <v>2128</v>
      </c>
      <c r="F875" s="6" t="s">
        <v>81</v>
      </c>
      <c r="G875" s="15" t="str" cm="1">
        <f t="array" ref="G875">MultiMatchPrefix(Table_Data[[#This Row],[D ID]],Table_Mappings[Data ID],0,"",TRUE,";
")</f>
        <v/>
      </c>
    </row>
    <row r="876" spans="1:14" x14ac:dyDescent="0.25">
      <c r="A876" s="20" t="s">
        <v>2129</v>
      </c>
      <c r="B876" s="11" t="s">
        <v>643</v>
      </c>
      <c r="C876" s="6" t="s">
        <v>2095</v>
      </c>
      <c r="D876" s="6" t="s">
        <v>2124</v>
      </c>
      <c r="E876" s="6" t="s">
        <v>2130</v>
      </c>
      <c r="F876" s="6" t="s">
        <v>81</v>
      </c>
      <c r="G876" s="15" t="str" cm="1">
        <f t="array" ref="G876">MultiMatchPrefix(Table_Data[[#This Row],[D ID]],Table_Mappings[Data ID],0,"",TRUE,";
")</f>
        <v/>
      </c>
    </row>
    <row r="877" spans="1:14" x14ac:dyDescent="0.25">
      <c r="A877" s="20" t="s">
        <v>2131</v>
      </c>
      <c r="B877" s="11" t="s">
        <v>643</v>
      </c>
      <c r="C877" s="6" t="s">
        <v>2095</v>
      </c>
      <c r="D877" s="6" t="s">
        <v>2124</v>
      </c>
      <c r="E877" s="6" t="s">
        <v>2132</v>
      </c>
      <c r="F877" s="6" t="s">
        <v>81</v>
      </c>
      <c r="G877" s="15" t="str" cm="1">
        <f t="array" ref="G877">MultiMatchPrefix(Table_Data[[#This Row],[D ID]],Table_Mappings[Data ID],0,"",TRUE,";
")</f>
        <v/>
      </c>
    </row>
    <row r="878" spans="1:14" x14ac:dyDescent="0.25">
      <c r="A878" s="20" t="s">
        <v>2133</v>
      </c>
      <c r="B878" s="11" t="s">
        <v>643</v>
      </c>
      <c r="C878" s="6" t="s">
        <v>2095</v>
      </c>
      <c r="D878" s="6" t="s">
        <v>2124</v>
      </c>
      <c r="E878" s="6" t="s">
        <v>2134</v>
      </c>
      <c r="F878" s="6" t="s">
        <v>81</v>
      </c>
      <c r="G878" s="15" t="str" cm="1">
        <f t="array" ref="G878">MultiMatchPrefix(Table_Data[[#This Row],[D ID]],Table_Mappings[Data ID],0,"",TRUE,";
")</f>
        <v/>
      </c>
    </row>
    <row r="879" spans="1:14" x14ac:dyDescent="0.25">
      <c r="A879" s="20" t="s">
        <v>2135</v>
      </c>
      <c r="B879" s="11" t="s">
        <v>640</v>
      </c>
      <c r="C879" s="6" t="s">
        <v>2095</v>
      </c>
      <c r="D879" s="6" t="s">
        <v>2136</v>
      </c>
      <c r="E879" s="17"/>
      <c r="F879" s="6" t="s">
        <v>81</v>
      </c>
      <c r="G879" s="15" t="str" cm="1">
        <f t="array" ref="G879">MultiMatchPrefix(Table_Data[[#This Row],[D ID]],Table_Mappings[Data ID],0,"",TRUE,";
")</f>
        <v/>
      </c>
    </row>
    <row r="880" spans="1:14" x14ac:dyDescent="0.25">
      <c r="A880" s="20" t="s">
        <v>2137</v>
      </c>
      <c r="B880" s="11" t="s">
        <v>643</v>
      </c>
      <c r="C880" s="6" t="s">
        <v>2095</v>
      </c>
      <c r="D880" s="6" t="s">
        <v>2136</v>
      </c>
      <c r="E880" s="6" t="s">
        <v>2138</v>
      </c>
      <c r="F880" s="6" t="s">
        <v>81</v>
      </c>
      <c r="G880" s="15" t="str" cm="1">
        <f t="array" ref="G880">MultiMatchPrefix(Table_Data[[#This Row],[D ID]],Table_Mappings[Data ID],0,"",TRUE,";
")</f>
        <v/>
      </c>
    </row>
    <row r="881" spans="1:14" x14ac:dyDescent="0.25">
      <c r="A881" s="20" t="s">
        <v>2139</v>
      </c>
      <c r="B881" s="11" t="s">
        <v>643</v>
      </c>
      <c r="C881" s="6" t="s">
        <v>2095</v>
      </c>
      <c r="D881" s="6" t="s">
        <v>2136</v>
      </c>
      <c r="E881" s="6" t="s">
        <v>2140</v>
      </c>
      <c r="F881" s="6" t="s">
        <v>81</v>
      </c>
      <c r="G881" s="15" t="str" cm="1">
        <f t="array" ref="G881">MultiMatchPrefix(Table_Data[[#This Row],[D ID]],Table_Mappings[Data ID],0,"",TRUE,";
")</f>
        <v/>
      </c>
    </row>
    <row r="882" spans="1:14" x14ac:dyDescent="0.25">
      <c r="A882" s="20" t="s">
        <v>2141</v>
      </c>
      <c r="B882" s="11" t="s">
        <v>643</v>
      </c>
      <c r="C882" s="6" t="s">
        <v>2095</v>
      </c>
      <c r="D882" s="6" t="s">
        <v>2136</v>
      </c>
      <c r="E882" s="6" t="s">
        <v>2142</v>
      </c>
      <c r="F882" s="6" t="s">
        <v>81</v>
      </c>
      <c r="G882" s="15" t="str" cm="1">
        <f t="array" ref="G882">MultiMatchPrefix(Table_Data[[#This Row],[D ID]],Table_Mappings[Data ID],0,"",TRUE,";
")</f>
        <v/>
      </c>
    </row>
    <row r="883" spans="1:14" x14ac:dyDescent="0.25">
      <c r="A883" s="20" t="s">
        <v>2143</v>
      </c>
      <c r="B883" s="11" t="s">
        <v>643</v>
      </c>
      <c r="C883" s="6" t="s">
        <v>2095</v>
      </c>
      <c r="D883" s="6" t="s">
        <v>2136</v>
      </c>
      <c r="E883" s="6" t="s">
        <v>2144</v>
      </c>
      <c r="F883" s="6" t="s">
        <v>81</v>
      </c>
      <c r="G883" s="15" t="str" cm="1">
        <f t="array" ref="G883">MultiMatchPrefix(Table_Data[[#This Row],[D ID]],Table_Mappings[Data ID],0,"",TRUE,";
")</f>
        <v/>
      </c>
    </row>
    <row r="884" spans="1:14" x14ac:dyDescent="0.25">
      <c r="A884" s="20" t="s">
        <v>2145</v>
      </c>
      <c r="B884" s="11" t="s">
        <v>643</v>
      </c>
      <c r="C884" s="6" t="s">
        <v>2095</v>
      </c>
      <c r="D884" s="6" t="s">
        <v>2136</v>
      </c>
      <c r="E884" s="6" t="s">
        <v>2146</v>
      </c>
      <c r="F884" s="6" t="s">
        <v>81</v>
      </c>
      <c r="G884" s="15" t="str" cm="1">
        <f t="array" ref="G884">MultiMatchPrefix(Table_Data[[#This Row],[D ID]],Table_Mappings[Data ID],0,"",TRUE,";
")</f>
        <v/>
      </c>
    </row>
    <row r="885" spans="1:14" ht="37.5" x14ac:dyDescent="0.25">
      <c r="A885" s="20" t="s">
        <v>2147</v>
      </c>
      <c r="B885" s="11" t="s">
        <v>640</v>
      </c>
      <c r="C885" s="6" t="s">
        <v>2095</v>
      </c>
      <c r="D885" s="6" t="s">
        <v>2148</v>
      </c>
      <c r="E885" s="17"/>
      <c r="F885" s="6" t="s">
        <v>81</v>
      </c>
      <c r="G885" s="15" t="str" cm="1">
        <f t="array" ref="G885">MultiMatchPrefix(Table_Data[[#This Row],[D ID]],Table_Mappings[Data ID],0,"",TRUE,";
")</f>
        <v/>
      </c>
      <c r="I885" s="19" t="s">
        <v>2632</v>
      </c>
      <c r="J885" s="19" t="s">
        <v>2633</v>
      </c>
      <c r="M885" s="19" t="s">
        <v>2729</v>
      </c>
      <c r="N885" s="181">
        <v>100</v>
      </c>
    </row>
    <row r="886" spans="1:14" x14ac:dyDescent="0.25">
      <c r="A886" s="20" t="s">
        <v>2149</v>
      </c>
      <c r="B886" s="11" t="s">
        <v>643</v>
      </c>
      <c r="C886" s="6" t="s">
        <v>2095</v>
      </c>
      <c r="D886" s="6" t="s">
        <v>2148</v>
      </c>
      <c r="E886" s="6" t="s">
        <v>1137</v>
      </c>
      <c r="F886" s="6" t="s">
        <v>81</v>
      </c>
      <c r="G886" s="15" t="str" cm="1">
        <f t="array" ref="G886">MultiMatchPrefix(Table_Data[[#This Row],[D ID]],Table_Mappings[Data ID],0,"",TRUE,";
")</f>
        <v/>
      </c>
      <c r="I886" s="19" t="s">
        <v>2632</v>
      </c>
      <c r="J886" s="19" t="s">
        <v>2633</v>
      </c>
      <c r="K886" s="19" t="s">
        <v>2633</v>
      </c>
      <c r="L886" s="19" t="s">
        <v>2634</v>
      </c>
      <c r="M886" s="19" t="s">
        <v>2684</v>
      </c>
      <c r="N886" s="181">
        <v>100</v>
      </c>
    </row>
    <row r="887" spans="1:14" x14ac:dyDescent="0.25">
      <c r="A887" s="20" t="s">
        <v>2150</v>
      </c>
      <c r="B887" s="11" t="s">
        <v>643</v>
      </c>
      <c r="C887" s="6" t="s">
        <v>2095</v>
      </c>
      <c r="D887" s="6" t="s">
        <v>2148</v>
      </c>
      <c r="E887" s="6" t="s">
        <v>67</v>
      </c>
      <c r="F887" s="6" t="s">
        <v>81</v>
      </c>
      <c r="G887" s="15" t="str" cm="1">
        <f t="array" ref="G887">MultiMatchPrefix(Table_Data[[#This Row],[D ID]],Table_Mappings[Data ID],0,"",TRUE,";
")</f>
        <v/>
      </c>
      <c r="I887" s="19" t="s">
        <v>2632</v>
      </c>
      <c r="J887" s="19" t="s">
        <v>2694</v>
      </c>
      <c r="K887" s="19" t="s">
        <v>2719</v>
      </c>
      <c r="L887" s="19" t="s">
        <v>2720</v>
      </c>
      <c r="N887" s="181" t="s">
        <v>2639</v>
      </c>
    </row>
    <row r="888" spans="1:14" ht="125" x14ac:dyDescent="0.25">
      <c r="A888" s="20" t="s">
        <v>548</v>
      </c>
      <c r="B888" s="11" t="s">
        <v>79</v>
      </c>
      <c r="C888" s="6" t="s">
        <v>2151</v>
      </c>
      <c r="D888" s="17"/>
      <c r="E888" s="17"/>
      <c r="F888" s="6" t="s">
        <v>2152</v>
      </c>
      <c r="G888" s="15" t="str" cm="1">
        <f t="array" ref="G888">MultiMatchPrefix(Table_Data[[#This Row],[D ID]],Table_Mappings[Data ID],0,"",TRUE,";
")</f>
        <v xml:space="preserve">07.03 Asset assignement ;
07.05 Asset transfer;
07.06 Asset loan;
07.07 Asset loan return;
07.08 Asset donation;
07.09 Asset disposal or auction;
07.10 Return/Closure;
10.01 Donor Funding Compliance;
10.05 Donor Reporting;
10.09 Consortium Reporting </v>
      </c>
      <c r="I888" s="19" t="s">
        <v>2668</v>
      </c>
      <c r="J888" s="19" t="s">
        <v>2712</v>
      </c>
      <c r="M888" s="19" t="s">
        <v>2721</v>
      </c>
      <c r="N888" s="181">
        <v>100</v>
      </c>
    </row>
    <row r="889" spans="1:14" x14ac:dyDescent="0.25">
      <c r="A889" s="20" t="s">
        <v>2153</v>
      </c>
      <c r="B889" s="11" t="s">
        <v>640</v>
      </c>
      <c r="C889" s="6" t="s">
        <v>2151</v>
      </c>
      <c r="D889" s="6" t="s">
        <v>2154</v>
      </c>
      <c r="E889" s="17"/>
      <c r="F889" s="6" t="s">
        <v>81</v>
      </c>
      <c r="G889" s="15" t="str" cm="1">
        <f t="array" ref="G889">MultiMatchPrefix(Table_Data[[#This Row],[D ID]],Table_Mappings[Data ID],0,"",TRUE,";
")</f>
        <v/>
      </c>
    </row>
    <row r="890" spans="1:14" x14ac:dyDescent="0.25">
      <c r="A890" s="20" t="s">
        <v>2155</v>
      </c>
      <c r="B890" s="11" t="s">
        <v>643</v>
      </c>
      <c r="C890" s="6" t="s">
        <v>2151</v>
      </c>
      <c r="D890" s="6" t="s">
        <v>2154</v>
      </c>
      <c r="E890" s="6" t="s">
        <v>1934</v>
      </c>
      <c r="F890" s="6" t="s">
        <v>81</v>
      </c>
      <c r="G890" s="15" t="str" cm="1">
        <f t="array" ref="G890">MultiMatchPrefix(Table_Data[[#This Row],[D ID]],Table_Mappings[Data ID],0,"",TRUE,";
")</f>
        <v/>
      </c>
    </row>
    <row r="891" spans="1:14" x14ac:dyDescent="0.25">
      <c r="A891" s="20" t="s">
        <v>2156</v>
      </c>
      <c r="B891" s="11" t="s">
        <v>643</v>
      </c>
      <c r="C891" s="6" t="s">
        <v>2151</v>
      </c>
      <c r="D891" s="6" t="s">
        <v>2154</v>
      </c>
      <c r="E891" s="6" t="s">
        <v>2113</v>
      </c>
      <c r="F891" s="6" t="s">
        <v>81</v>
      </c>
      <c r="G891" s="15" t="str" cm="1">
        <f t="array" ref="G891">MultiMatchPrefix(Table_Data[[#This Row],[D ID]],Table_Mappings[Data ID],0,"",TRUE,";
")</f>
        <v/>
      </c>
    </row>
    <row r="892" spans="1:14" x14ac:dyDescent="0.25">
      <c r="A892" s="20" t="s">
        <v>2157</v>
      </c>
      <c r="B892" s="11" t="s">
        <v>643</v>
      </c>
      <c r="C892" s="6" t="s">
        <v>2151</v>
      </c>
      <c r="D892" s="6" t="s">
        <v>2154</v>
      </c>
      <c r="E892" s="6" t="s">
        <v>2115</v>
      </c>
      <c r="F892" s="6" t="s">
        <v>81</v>
      </c>
      <c r="G892" s="15" t="str" cm="1">
        <f t="array" ref="G892">MultiMatchPrefix(Table_Data[[#This Row],[D ID]],Table_Mappings[Data ID],0,"",TRUE,";
")</f>
        <v/>
      </c>
    </row>
    <row r="893" spans="1:14" x14ac:dyDescent="0.25">
      <c r="A893" s="20" t="s">
        <v>2158</v>
      </c>
      <c r="B893" s="11" t="s">
        <v>640</v>
      </c>
      <c r="C893" s="6" t="s">
        <v>2151</v>
      </c>
      <c r="D893" s="6" t="s">
        <v>2159</v>
      </c>
      <c r="E893" s="17"/>
      <c r="F893" s="6" t="s">
        <v>81</v>
      </c>
      <c r="G893" s="15" t="str" cm="1">
        <f t="array" ref="G893">MultiMatchPrefix(Table_Data[[#This Row],[D ID]],Table_Mappings[Data ID],0,"",TRUE,";
")</f>
        <v/>
      </c>
    </row>
    <row r="894" spans="1:14" x14ac:dyDescent="0.25">
      <c r="A894" s="20" t="s">
        <v>2160</v>
      </c>
      <c r="B894" s="11" t="s">
        <v>643</v>
      </c>
      <c r="C894" s="6" t="s">
        <v>2151</v>
      </c>
      <c r="D894" s="6" t="s">
        <v>2159</v>
      </c>
      <c r="E894" s="6" t="s">
        <v>1934</v>
      </c>
      <c r="F894" s="6" t="s">
        <v>81</v>
      </c>
      <c r="G894" s="15" t="str" cm="1">
        <f t="array" ref="G894">MultiMatchPrefix(Table_Data[[#This Row],[D ID]],Table_Mappings[Data ID],0,"",TRUE,";
")</f>
        <v/>
      </c>
    </row>
    <row r="895" spans="1:14" x14ac:dyDescent="0.25">
      <c r="A895" s="20" t="s">
        <v>2161</v>
      </c>
      <c r="B895" s="11" t="s">
        <v>643</v>
      </c>
      <c r="C895" s="6" t="s">
        <v>2151</v>
      </c>
      <c r="D895" s="6" t="s">
        <v>2159</v>
      </c>
      <c r="E895" s="6" t="s">
        <v>1137</v>
      </c>
      <c r="F895" s="6" t="s">
        <v>81</v>
      </c>
      <c r="G895" s="15" t="str" cm="1">
        <f t="array" ref="G895">MultiMatchPrefix(Table_Data[[#This Row],[D ID]],Table_Mappings[Data ID],0,"",TRUE,";
")</f>
        <v/>
      </c>
      <c r="I895" s="19" t="s">
        <v>2632</v>
      </c>
      <c r="J895" s="19" t="s">
        <v>2633</v>
      </c>
      <c r="K895" s="19" t="s">
        <v>2633</v>
      </c>
      <c r="L895" s="19" t="s">
        <v>2634</v>
      </c>
      <c r="M895" s="19" t="s">
        <v>2684</v>
      </c>
      <c r="N895" s="181">
        <v>100</v>
      </c>
    </row>
    <row r="896" spans="1:14" x14ac:dyDescent="0.25">
      <c r="A896" s="20" t="s">
        <v>2162</v>
      </c>
      <c r="B896" s="11" t="s">
        <v>643</v>
      </c>
      <c r="C896" s="6" t="s">
        <v>2151</v>
      </c>
      <c r="D896" s="6" t="s">
        <v>2159</v>
      </c>
      <c r="E896" s="6" t="s">
        <v>2163</v>
      </c>
      <c r="F896" s="6" t="s">
        <v>81</v>
      </c>
      <c r="G896" s="15" t="str" cm="1">
        <f t="array" ref="G896">MultiMatchPrefix(Table_Data[[#This Row],[D ID]],Table_Mappings[Data ID],0,"",TRUE,";
")</f>
        <v/>
      </c>
    </row>
    <row r="897" spans="1:14" x14ac:dyDescent="0.25">
      <c r="A897" s="20" t="s">
        <v>2164</v>
      </c>
      <c r="B897" s="11" t="s">
        <v>640</v>
      </c>
      <c r="C897" s="6" t="s">
        <v>2151</v>
      </c>
      <c r="D897" s="6" t="s">
        <v>2165</v>
      </c>
      <c r="E897" s="17"/>
      <c r="F897" s="6" t="s">
        <v>81</v>
      </c>
      <c r="G897" s="15" t="str" cm="1">
        <f t="array" ref="G897">MultiMatchPrefix(Table_Data[[#This Row],[D ID]],Table_Mappings[Data ID],0,"",TRUE,";
")</f>
        <v/>
      </c>
    </row>
    <row r="898" spans="1:14" x14ac:dyDescent="0.25">
      <c r="A898" s="20" t="s">
        <v>2166</v>
      </c>
      <c r="B898" s="11" t="s">
        <v>643</v>
      </c>
      <c r="C898" s="6" t="s">
        <v>2151</v>
      </c>
      <c r="D898" s="6" t="s">
        <v>2165</v>
      </c>
      <c r="E898" s="6" t="s">
        <v>1934</v>
      </c>
      <c r="F898" s="6" t="s">
        <v>81</v>
      </c>
      <c r="G898" s="15" t="str" cm="1">
        <f t="array" ref="G898">MultiMatchPrefix(Table_Data[[#This Row],[D ID]],Table_Mappings[Data ID],0,"",TRUE,";
")</f>
        <v/>
      </c>
    </row>
    <row r="899" spans="1:14" x14ac:dyDescent="0.25">
      <c r="A899" s="20" t="s">
        <v>2167</v>
      </c>
      <c r="B899" s="11" t="s">
        <v>643</v>
      </c>
      <c r="C899" s="6" t="s">
        <v>2151</v>
      </c>
      <c r="D899" s="6" t="s">
        <v>2165</v>
      </c>
      <c r="E899" s="6" t="s">
        <v>1137</v>
      </c>
      <c r="F899" s="6" t="s">
        <v>81</v>
      </c>
      <c r="G899" s="15" t="str" cm="1">
        <f t="array" ref="G899">MultiMatchPrefix(Table_Data[[#This Row],[D ID]],Table_Mappings[Data ID],0,"",TRUE,";
")</f>
        <v/>
      </c>
      <c r="I899" s="19" t="s">
        <v>2632</v>
      </c>
      <c r="J899" s="19" t="s">
        <v>2633</v>
      </c>
      <c r="K899" s="19" t="s">
        <v>2633</v>
      </c>
      <c r="L899" s="19" t="s">
        <v>2634</v>
      </c>
      <c r="M899" s="19" t="s">
        <v>2684</v>
      </c>
      <c r="N899" s="181">
        <v>100</v>
      </c>
    </row>
    <row r="900" spans="1:14" x14ac:dyDescent="0.25">
      <c r="A900" s="20" t="s">
        <v>2168</v>
      </c>
      <c r="B900" s="11" t="s">
        <v>640</v>
      </c>
      <c r="C900" s="6" t="s">
        <v>2151</v>
      </c>
      <c r="D900" s="6" t="s">
        <v>2169</v>
      </c>
      <c r="E900" s="17"/>
      <c r="F900" s="6" t="s">
        <v>81</v>
      </c>
      <c r="G900" s="15" t="str" cm="1">
        <f t="array" ref="G900">MultiMatchPrefix(Table_Data[[#This Row],[D ID]],Table_Mappings[Data ID],0,"",TRUE,";
")</f>
        <v/>
      </c>
    </row>
    <row r="901" spans="1:14" x14ac:dyDescent="0.25">
      <c r="A901" s="20" t="s">
        <v>2170</v>
      </c>
      <c r="B901" s="11" t="s">
        <v>643</v>
      </c>
      <c r="C901" s="6" t="s">
        <v>2151</v>
      </c>
      <c r="D901" s="6" t="s">
        <v>2169</v>
      </c>
      <c r="E901" s="6" t="s">
        <v>1934</v>
      </c>
      <c r="F901" s="6" t="s">
        <v>81</v>
      </c>
      <c r="G901" s="15" t="str" cm="1">
        <f t="array" ref="G901">MultiMatchPrefix(Table_Data[[#This Row],[D ID]],Table_Mappings[Data ID],0,"",TRUE,";
")</f>
        <v/>
      </c>
    </row>
    <row r="902" spans="1:14" x14ac:dyDescent="0.25">
      <c r="A902" s="20" t="s">
        <v>2171</v>
      </c>
      <c r="B902" s="11" t="s">
        <v>643</v>
      </c>
      <c r="C902" s="6" t="s">
        <v>2151</v>
      </c>
      <c r="D902" s="6" t="s">
        <v>2169</v>
      </c>
      <c r="E902" s="6" t="s">
        <v>2113</v>
      </c>
      <c r="F902" s="6" t="s">
        <v>81</v>
      </c>
      <c r="G902" s="15" t="str" cm="1">
        <f t="array" ref="G902">MultiMatchPrefix(Table_Data[[#This Row],[D ID]],Table_Mappings[Data ID],0,"",TRUE,";
")</f>
        <v/>
      </c>
    </row>
    <row r="903" spans="1:14" x14ac:dyDescent="0.25">
      <c r="A903" s="20" t="s">
        <v>2172</v>
      </c>
      <c r="B903" s="11" t="s">
        <v>643</v>
      </c>
      <c r="C903" s="6" t="s">
        <v>2151</v>
      </c>
      <c r="D903" s="6" t="s">
        <v>2169</v>
      </c>
      <c r="E903" s="6" t="s">
        <v>2115</v>
      </c>
      <c r="F903" s="6" t="s">
        <v>81</v>
      </c>
      <c r="G903" s="15" t="str" cm="1">
        <f t="array" ref="G903">MultiMatchPrefix(Table_Data[[#This Row],[D ID]],Table_Mappings[Data ID],0,"",TRUE,";
")</f>
        <v/>
      </c>
    </row>
    <row r="904" spans="1:14" x14ac:dyDescent="0.25">
      <c r="A904" s="20" t="s">
        <v>2173</v>
      </c>
      <c r="B904" s="11" t="s">
        <v>643</v>
      </c>
      <c r="C904" s="6" t="s">
        <v>2151</v>
      </c>
      <c r="D904" s="6" t="s">
        <v>2169</v>
      </c>
      <c r="E904" s="6" t="s">
        <v>2163</v>
      </c>
      <c r="F904" s="6" t="s">
        <v>81</v>
      </c>
      <c r="G904" s="15" t="str" cm="1">
        <f t="array" ref="G904">MultiMatchPrefix(Table_Data[[#This Row],[D ID]],Table_Mappings[Data ID],0,"",TRUE,";
")</f>
        <v/>
      </c>
    </row>
    <row r="905" spans="1:14" x14ac:dyDescent="0.25">
      <c r="A905" s="20" t="s">
        <v>2174</v>
      </c>
      <c r="B905" s="11" t="s">
        <v>640</v>
      </c>
      <c r="C905" s="6" t="s">
        <v>2151</v>
      </c>
      <c r="D905" s="6" t="s">
        <v>2175</v>
      </c>
      <c r="E905" s="17"/>
      <c r="F905" s="6" t="s">
        <v>81</v>
      </c>
      <c r="G905" s="15" t="str" cm="1">
        <f t="array" ref="G905">MultiMatchPrefix(Table_Data[[#This Row],[D ID]],Table_Mappings[Data ID],0,"",TRUE,";
")</f>
        <v/>
      </c>
    </row>
    <row r="906" spans="1:14" x14ac:dyDescent="0.25">
      <c r="A906" s="20" t="s">
        <v>2176</v>
      </c>
      <c r="B906" s="11" t="s">
        <v>643</v>
      </c>
      <c r="C906" s="6" t="s">
        <v>2151</v>
      </c>
      <c r="D906" s="6" t="s">
        <v>2175</v>
      </c>
      <c r="E906" s="6" t="s">
        <v>1934</v>
      </c>
      <c r="F906" s="6" t="s">
        <v>81</v>
      </c>
      <c r="G906" s="15" t="str" cm="1">
        <f t="array" ref="G906">MultiMatchPrefix(Table_Data[[#This Row],[D ID]],Table_Mappings[Data ID],0,"",TRUE,";
")</f>
        <v/>
      </c>
    </row>
    <row r="907" spans="1:14" x14ac:dyDescent="0.25">
      <c r="A907" s="20" t="s">
        <v>2177</v>
      </c>
      <c r="B907" s="11" t="s">
        <v>643</v>
      </c>
      <c r="C907" s="6" t="s">
        <v>2151</v>
      </c>
      <c r="D907" s="6" t="s">
        <v>2175</v>
      </c>
      <c r="E907" s="6" t="s">
        <v>2144</v>
      </c>
      <c r="F907" s="6" t="s">
        <v>81</v>
      </c>
      <c r="G907" s="15" t="str" cm="1">
        <f t="array" ref="G907">MultiMatchPrefix(Table_Data[[#This Row],[D ID]],Table_Mappings[Data ID],0,"",TRUE,";
")</f>
        <v/>
      </c>
    </row>
    <row r="908" spans="1:14" x14ac:dyDescent="0.25">
      <c r="A908" s="20" t="s">
        <v>2178</v>
      </c>
      <c r="B908" s="11" t="s">
        <v>643</v>
      </c>
      <c r="C908" s="6" t="s">
        <v>2151</v>
      </c>
      <c r="D908" s="6" t="s">
        <v>2175</v>
      </c>
      <c r="E908" s="6" t="s">
        <v>2179</v>
      </c>
      <c r="F908" s="6" t="s">
        <v>81</v>
      </c>
      <c r="G908" s="15" t="str" cm="1">
        <f t="array" ref="G908">MultiMatchPrefix(Table_Data[[#This Row],[D ID]],Table_Mappings[Data ID],0,"",TRUE,";
")</f>
        <v/>
      </c>
    </row>
    <row r="909" spans="1:14" x14ac:dyDescent="0.25">
      <c r="A909" s="20" t="s">
        <v>550</v>
      </c>
      <c r="B909" s="11" t="s">
        <v>79</v>
      </c>
      <c r="C909" s="6" t="s">
        <v>2180</v>
      </c>
      <c r="D909" s="17"/>
      <c r="E909" s="17"/>
      <c r="F909" s="6" t="s">
        <v>2181</v>
      </c>
      <c r="G909" s="15" t="str" cm="1">
        <f t="array" ref="G909">MultiMatchPrefix(Table_Data[[#This Row],[D ID]],Table_Mappings[Data ID],0,"",TRUE,";
")</f>
        <v>07.04 Asset follow-up and maintenance</v>
      </c>
    </row>
    <row r="910" spans="1:14" x14ac:dyDescent="0.25">
      <c r="A910" s="20" t="s">
        <v>2182</v>
      </c>
      <c r="B910" s="11" t="s">
        <v>640</v>
      </c>
      <c r="C910" s="6" t="s">
        <v>2180</v>
      </c>
      <c r="D910" s="6" t="s">
        <v>2077</v>
      </c>
      <c r="E910" s="17"/>
      <c r="F910" s="6" t="s">
        <v>81</v>
      </c>
      <c r="G910" s="15" t="str" cm="1">
        <f t="array" ref="G910">MultiMatchPrefix(Table_Data[[#This Row],[D ID]],Table_Mappings[Data ID],0,"",TRUE,";
")</f>
        <v/>
      </c>
    </row>
    <row r="911" spans="1:14" x14ac:dyDescent="0.25">
      <c r="A911" s="20" t="s">
        <v>2183</v>
      </c>
      <c r="B911" s="11" t="s">
        <v>643</v>
      </c>
      <c r="C911" s="6" t="s">
        <v>2180</v>
      </c>
      <c r="D911" s="6" t="s">
        <v>2077</v>
      </c>
      <c r="E911" s="6" t="s">
        <v>1934</v>
      </c>
      <c r="F911" s="6" t="s">
        <v>81</v>
      </c>
      <c r="G911" s="15" t="str" cm="1">
        <f t="array" ref="G911">MultiMatchPrefix(Table_Data[[#This Row],[D ID]],Table_Mappings[Data ID],0,"",TRUE,";
")</f>
        <v/>
      </c>
    </row>
    <row r="912" spans="1:14" x14ac:dyDescent="0.25">
      <c r="A912" s="20" t="s">
        <v>2184</v>
      </c>
      <c r="B912" s="11" t="s">
        <v>643</v>
      </c>
      <c r="C912" s="6" t="s">
        <v>2180</v>
      </c>
      <c r="D912" s="6" t="s">
        <v>2077</v>
      </c>
      <c r="E912" s="6" t="s">
        <v>1936</v>
      </c>
      <c r="F912" s="6" t="s">
        <v>81</v>
      </c>
      <c r="G912" s="15" t="str" cm="1">
        <f t="array" ref="G912">MultiMatchPrefix(Table_Data[[#This Row],[D ID]],Table_Mappings[Data ID],0,"",TRUE,";
")</f>
        <v/>
      </c>
    </row>
    <row r="913" spans="1:7" x14ac:dyDescent="0.25">
      <c r="A913" s="20" t="s">
        <v>2185</v>
      </c>
      <c r="B913" s="11" t="s">
        <v>640</v>
      </c>
      <c r="C913" s="6" t="s">
        <v>2180</v>
      </c>
      <c r="D913" s="6" t="s">
        <v>2186</v>
      </c>
      <c r="E913" s="17"/>
      <c r="F913" s="6" t="s">
        <v>1949</v>
      </c>
      <c r="G913" s="15" t="str" cm="1">
        <f t="array" ref="G913">MultiMatchPrefix(Table_Data[[#This Row],[D ID]],Table_Mappings[Data ID],0,"",TRUE,";
")</f>
        <v/>
      </c>
    </row>
    <row r="914" spans="1:7" x14ac:dyDescent="0.25">
      <c r="A914" s="20" t="s">
        <v>2187</v>
      </c>
      <c r="B914" s="11" t="s">
        <v>643</v>
      </c>
      <c r="C914" s="6" t="s">
        <v>2180</v>
      </c>
      <c r="D914" s="6" t="s">
        <v>2186</v>
      </c>
      <c r="E914" s="6" t="s">
        <v>1951</v>
      </c>
      <c r="F914" s="6" t="s">
        <v>81</v>
      </c>
      <c r="G914" s="15" t="str" cm="1">
        <f t="array" ref="G914">MultiMatchPrefix(Table_Data[[#This Row],[D ID]],Table_Mappings[Data ID],0,"",TRUE,";
")</f>
        <v/>
      </c>
    </row>
    <row r="915" spans="1:7" x14ac:dyDescent="0.25">
      <c r="A915" s="20" t="s">
        <v>2188</v>
      </c>
      <c r="B915" s="11" t="s">
        <v>643</v>
      </c>
      <c r="C915" s="6" t="s">
        <v>2180</v>
      </c>
      <c r="D915" s="6" t="s">
        <v>2186</v>
      </c>
      <c r="E915" s="6" t="s">
        <v>1953</v>
      </c>
      <c r="F915" s="6" t="s">
        <v>81</v>
      </c>
      <c r="G915" s="15" t="str" cm="1">
        <f t="array" ref="G915">MultiMatchPrefix(Table_Data[[#This Row],[D ID]],Table_Mappings[Data ID],0,"",TRUE,";
")</f>
        <v/>
      </c>
    </row>
    <row r="916" spans="1:7" x14ac:dyDescent="0.25">
      <c r="A916" s="20" t="s">
        <v>2189</v>
      </c>
      <c r="B916" s="11" t="s">
        <v>643</v>
      </c>
      <c r="C916" s="6" t="s">
        <v>2180</v>
      </c>
      <c r="D916" s="6" t="s">
        <v>2186</v>
      </c>
      <c r="E916" s="6" t="s">
        <v>1955</v>
      </c>
      <c r="F916" s="6" t="s">
        <v>81</v>
      </c>
      <c r="G916" s="15" t="str" cm="1">
        <f t="array" ref="G916">MultiMatchPrefix(Table_Data[[#This Row],[D ID]],Table_Mappings[Data ID],0,"",TRUE,";
")</f>
        <v/>
      </c>
    </row>
    <row r="917" spans="1:7" ht="25" x14ac:dyDescent="0.25">
      <c r="A917" s="20" t="s">
        <v>552</v>
      </c>
      <c r="B917" s="11" t="s">
        <v>79</v>
      </c>
      <c r="C917" s="6" t="s">
        <v>1956</v>
      </c>
      <c r="D917" s="17"/>
      <c r="E917" s="17"/>
      <c r="F917" s="6" t="s">
        <v>1957</v>
      </c>
      <c r="G917" s="15" t="str" cm="1">
        <f t="array" ref="G917">MultiMatchPrefix(Table_Data[[#This Row],[D ID]],Table_Mappings[Data ID],0,"",TRUE,";
")</f>
        <v>07.04 Asset follow-up and maintenance</v>
      </c>
    </row>
    <row r="918" spans="1:7" ht="25" x14ac:dyDescent="0.25">
      <c r="A918" s="20" t="s">
        <v>2190</v>
      </c>
      <c r="B918" s="11" t="s">
        <v>640</v>
      </c>
      <c r="C918" s="6" t="s">
        <v>1956</v>
      </c>
      <c r="D918" s="6" t="s">
        <v>1959</v>
      </c>
      <c r="E918" s="17"/>
      <c r="F918" s="6" t="s">
        <v>81</v>
      </c>
      <c r="G918" s="15" t="str" cm="1">
        <f t="array" ref="G918">MultiMatchPrefix(Table_Data[[#This Row],[D ID]],Table_Mappings[Data ID],0,"",TRUE,";
")</f>
        <v/>
      </c>
    </row>
    <row r="919" spans="1:7" ht="26" x14ac:dyDescent="0.25">
      <c r="A919" s="20" t="s">
        <v>2191</v>
      </c>
      <c r="B919" s="11" t="s">
        <v>643</v>
      </c>
      <c r="C919" s="153" t="s">
        <v>1956</v>
      </c>
      <c r="D919" s="153" t="s">
        <v>1959</v>
      </c>
      <c r="E919" s="153" t="s">
        <v>2192</v>
      </c>
      <c r="F919" s="6" t="s">
        <v>2193</v>
      </c>
      <c r="G919" s="15" t="str" cm="1">
        <f t="array" ref="G919">MultiMatchPrefix(Table_Data[[#This Row],[D ID]],Table_Mappings[Data ID],0,"",TRUE,";
")</f>
        <v/>
      </c>
    </row>
    <row r="920" spans="1:7" x14ac:dyDescent="0.25">
      <c r="A920" s="20" t="s">
        <v>2194</v>
      </c>
      <c r="B920" s="11" t="s">
        <v>640</v>
      </c>
      <c r="C920" s="6" t="s">
        <v>1956</v>
      </c>
      <c r="D920" s="6" t="s">
        <v>1966</v>
      </c>
      <c r="E920" s="17"/>
      <c r="F920" s="6" t="s">
        <v>81</v>
      </c>
      <c r="G920" s="15" t="str" cm="1">
        <f t="array" ref="G920">MultiMatchPrefix(Table_Data[[#This Row],[D ID]],Table_Mappings[Data ID],0,"",TRUE,";
")</f>
        <v/>
      </c>
    </row>
    <row r="921" spans="1:7" ht="26" x14ac:dyDescent="0.25">
      <c r="A921" s="20" t="s">
        <v>2195</v>
      </c>
      <c r="B921" s="11" t="s">
        <v>643</v>
      </c>
      <c r="C921" s="153" t="s">
        <v>1956</v>
      </c>
      <c r="D921" s="153" t="s">
        <v>1966</v>
      </c>
      <c r="E921" s="153" t="s">
        <v>2192</v>
      </c>
      <c r="F921" s="6" t="s">
        <v>2193</v>
      </c>
      <c r="G921" s="15" t="str" cm="1">
        <f t="array" ref="G921">MultiMatchPrefix(Table_Data[[#This Row],[D ID]],Table_Mappings[Data ID],0,"",TRUE,";
")</f>
        <v/>
      </c>
    </row>
    <row r="922" spans="1:7" x14ac:dyDescent="0.25">
      <c r="A922" s="20" t="s">
        <v>2196</v>
      </c>
      <c r="B922" s="11" t="s">
        <v>640</v>
      </c>
      <c r="C922" s="6" t="s">
        <v>1956</v>
      </c>
      <c r="D922" s="6" t="s">
        <v>1972</v>
      </c>
      <c r="E922" s="17"/>
      <c r="F922" s="6" t="s">
        <v>81</v>
      </c>
      <c r="G922" s="15" t="str" cm="1">
        <f t="array" ref="G922">MultiMatchPrefix(Table_Data[[#This Row],[D ID]],Table_Mappings[Data ID],0,"",TRUE,";
")</f>
        <v/>
      </c>
    </row>
    <row r="923" spans="1:7" ht="26" x14ac:dyDescent="0.25">
      <c r="A923" s="20" t="s">
        <v>2197</v>
      </c>
      <c r="B923" s="11" t="s">
        <v>643</v>
      </c>
      <c r="C923" s="153" t="s">
        <v>1956</v>
      </c>
      <c r="D923" s="153" t="s">
        <v>1972</v>
      </c>
      <c r="E923" s="153" t="s">
        <v>2192</v>
      </c>
      <c r="F923" s="6" t="s">
        <v>2193</v>
      </c>
      <c r="G923" s="15" t="str" cm="1">
        <f t="array" ref="G923">MultiMatchPrefix(Table_Data[[#This Row],[D ID]],Table_Mappings[Data ID],0,"",TRUE,";
")</f>
        <v/>
      </c>
    </row>
    <row r="924" spans="1:7" x14ac:dyDescent="0.25">
      <c r="A924" s="20" t="s">
        <v>560</v>
      </c>
      <c r="B924" s="11" t="s">
        <v>79</v>
      </c>
      <c r="C924" s="6" t="s">
        <v>2198</v>
      </c>
      <c r="D924" s="17"/>
      <c r="E924" s="17"/>
      <c r="F924" s="6" t="s">
        <v>2199</v>
      </c>
      <c r="G924" s="15" t="str" cm="1">
        <f t="array" ref="G924">MultiMatchPrefix(Table_Data[[#This Row],[D ID]],Table_Mappings[Data ID],0,"",TRUE,";
")</f>
        <v xml:space="preserve">09.01 Reporting - Planning </v>
      </c>
    </row>
    <row r="925" spans="1:7" x14ac:dyDescent="0.25">
      <c r="A925" s="20" t="s">
        <v>2200</v>
      </c>
      <c r="B925" s="11" t="s">
        <v>640</v>
      </c>
      <c r="C925" s="6" t="s">
        <v>2198</v>
      </c>
      <c r="D925" s="6" t="s">
        <v>2201</v>
      </c>
      <c r="E925" s="17"/>
      <c r="F925" s="6" t="s">
        <v>81</v>
      </c>
      <c r="G925" s="15" t="str" cm="1">
        <f t="array" ref="G925">MultiMatchPrefix(Table_Data[[#This Row],[D ID]],Table_Mappings[Data ID],0,"",TRUE,";
")</f>
        <v/>
      </c>
    </row>
    <row r="926" spans="1:7" x14ac:dyDescent="0.25">
      <c r="A926" s="20" t="s">
        <v>2202</v>
      </c>
      <c r="B926" s="11" t="s">
        <v>643</v>
      </c>
      <c r="C926" s="6" t="s">
        <v>2198</v>
      </c>
      <c r="D926" s="6" t="s">
        <v>2201</v>
      </c>
      <c r="E926" s="6" t="s">
        <v>644</v>
      </c>
      <c r="F926" s="6" t="s">
        <v>81</v>
      </c>
      <c r="G926" s="15" t="str" cm="1">
        <f t="array" ref="G926">MultiMatchPrefix(Table_Data[[#This Row],[D ID]],Table_Mappings[Data ID],0,"",TRUE,";
")</f>
        <v/>
      </c>
    </row>
    <row r="927" spans="1:7" x14ac:dyDescent="0.25">
      <c r="A927" s="20" t="s">
        <v>2203</v>
      </c>
      <c r="B927" s="11" t="s">
        <v>643</v>
      </c>
      <c r="C927" s="6" t="s">
        <v>2198</v>
      </c>
      <c r="D927" s="6" t="s">
        <v>2201</v>
      </c>
      <c r="E927" s="6" t="s">
        <v>679</v>
      </c>
      <c r="F927" s="6" t="s">
        <v>81</v>
      </c>
      <c r="G927" s="15" t="str" cm="1">
        <f t="array" ref="G927">MultiMatchPrefix(Table_Data[[#This Row],[D ID]],Table_Mappings[Data ID],0,"",TRUE,";
")</f>
        <v/>
      </c>
    </row>
    <row r="928" spans="1:7" x14ac:dyDescent="0.25">
      <c r="A928" s="20" t="s">
        <v>2204</v>
      </c>
      <c r="B928" s="11" t="s">
        <v>643</v>
      </c>
      <c r="C928" s="6" t="s">
        <v>2198</v>
      </c>
      <c r="D928" s="6" t="s">
        <v>2201</v>
      </c>
      <c r="E928" s="6" t="s">
        <v>650</v>
      </c>
      <c r="F928" s="6" t="s">
        <v>81</v>
      </c>
      <c r="G928" s="15" t="str" cm="1">
        <f t="array" ref="G928">MultiMatchPrefix(Table_Data[[#This Row],[D ID]],Table_Mappings[Data ID],0,"",TRUE,";
")</f>
        <v/>
      </c>
    </row>
    <row r="929" spans="1:14" x14ac:dyDescent="0.25">
      <c r="A929" s="20" t="s">
        <v>2205</v>
      </c>
      <c r="B929" s="11" t="s">
        <v>640</v>
      </c>
      <c r="C929" s="6" t="s">
        <v>2198</v>
      </c>
      <c r="D929" s="6" t="s">
        <v>682</v>
      </c>
      <c r="E929" s="17"/>
      <c r="F929" s="6" t="s">
        <v>81</v>
      </c>
      <c r="G929" s="15" t="str" cm="1">
        <f t="array" ref="G929">MultiMatchPrefix(Table_Data[[#This Row],[D ID]],Table_Mappings[Data ID],0,"",TRUE,";
")</f>
        <v/>
      </c>
    </row>
    <row r="930" spans="1:14" x14ac:dyDescent="0.25">
      <c r="A930" s="20" t="s">
        <v>2206</v>
      </c>
      <c r="B930" s="11" t="s">
        <v>643</v>
      </c>
      <c r="C930" s="6" t="s">
        <v>2198</v>
      </c>
      <c r="D930" s="6" t="s">
        <v>682</v>
      </c>
      <c r="E930" s="6" t="s">
        <v>684</v>
      </c>
      <c r="F930" s="6" t="s">
        <v>81</v>
      </c>
      <c r="G930" s="15" t="str" cm="1">
        <f t="array" ref="G930">MultiMatchPrefix(Table_Data[[#This Row],[D ID]],Table_Mappings[Data ID],0,"",TRUE,";
")</f>
        <v/>
      </c>
    </row>
    <row r="931" spans="1:14" x14ac:dyDescent="0.25">
      <c r="A931" s="20" t="s">
        <v>2207</v>
      </c>
      <c r="B931" s="11" t="s">
        <v>643</v>
      </c>
      <c r="C931" s="6" t="s">
        <v>2198</v>
      </c>
      <c r="D931" s="6" t="s">
        <v>682</v>
      </c>
      <c r="E931" s="6" t="s">
        <v>2208</v>
      </c>
      <c r="F931" s="6" t="s">
        <v>81</v>
      </c>
      <c r="G931" s="15" t="str" cm="1">
        <f t="array" ref="G931">MultiMatchPrefix(Table_Data[[#This Row],[D ID]],Table_Mappings[Data ID],0,"",TRUE,";
")</f>
        <v/>
      </c>
    </row>
    <row r="932" spans="1:14" x14ac:dyDescent="0.25">
      <c r="A932" s="20" t="s">
        <v>2209</v>
      </c>
      <c r="B932" s="11" t="s">
        <v>643</v>
      </c>
      <c r="C932" s="6" t="s">
        <v>2198</v>
      </c>
      <c r="D932" s="6" t="s">
        <v>682</v>
      </c>
      <c r="E932" s="6" t="s">
        <v>687</v>
      </c>
      <c r="F932" s="6" t="s">
        <v>81</v>
      </c>
      <c r="G932" s="15" t="str" cm="1">
        <f t="array" ref="G932">MultiMatchPrefix(Table_Data[[#This Row],[D ID]],Table_Mappings[Data ID],0,"",TRUE,";
")</f>
        <v/>
      </c>
    </row>
    <row r="933" spans="1:14" x14ac:dyDescent="0.25">
      <c r="A933" s="20" t="s">
        <v>2210</v>
      </c>
      <c r="B933" s="11" t="s">
        <v>640</v>
      </c>
      <c r="C933" s="6" t="s">
        <v>2198</v>
      </c>
      <c r="D933" s="6" t="s">
        <v>689</v>
      </c>
      <c r="E933" s="17"/>
      <c r="F933" s="6" t="s">
        <v>81</v>
      </c>
      <c r="G933" s="15" t="str" cm="1">
        <f t="array" ref="G933">MultiMatchPrefix(Table_Data[[#This Row],[D ID]],Table_Mappings[Data ID],0,"",TRUE,";
")</f>
        <v/>
      </c>
      <c r="I933" s="19" t="s">
        <v>2632</v>
      </c>
      <c r="J933" s="19" t="s">
        <v>715</v>
      </c>
      <c r="K933" s="19" t="s">
        <v>715</v>
      </c>
      <c r="L933" s="19" t="s">
        <v>2612</v>
      </c>
      <c r="N933" s="181">
        <v>100</v>
      </c>
    </row>
    <row r="934" spans="1:14" x14ac:dyDescent="0.25">
      <c r="A934" s="20" t="s">
        <v>2211</v>
      </c>
      <c r="B934" s="11" t="s">
        <v>643</v>
      </c>
      <c r="C934" s="6" t="s">
        <v>2198</v>
      </c>
      <c r="D934" s="6" t="s">
        <v>689</v>
      </c>
      <c r="E934" s="6" t="s">
        <v>691</v>
      </c>
      <c r="F934" s="6" t="s">
        <v>81</v>
      </c>
      <c r="G934" s="15" t="str" cm="1">
        <f t="array" ref="G934">MultiMatchPrefix(Table_Data[[#This Row],[D ID]],Table_Mappings[Data ID],0,"",TRUE,";
")</f>
        <v/>
      </c>
      <c r="I934" s="19" t="s">
        <v>2632</v>
      </c>
      <c r="J934" s="19" t="s">
        <v>715</v>
      </c>
      <c r="K934" s="19" t="s">
        <v>2613</v>
      </c>
      <c r="L934" s="19" t="s">
        <v>2614</v>
      </c>
      <c r="N934" s="181">
        <v>100</v>
      </c>
    </row>
    <row r="935" spans="1:14" ht="13" x14ac:dyDescent="0.25">
      <c r="A935" s="20" t="s">
        <v>2212</v>
      </c>
      <c r="B935" s="11" t="s">
        <v>643</v>
      </c>
      <c r="C935" s="153" t="s">
        <v>2198</v>
      </c>
      <c r="D935" s="153" t="s">
        <v>689</v>
      </c>
      <c r="E935" s="153" t="s">
        <v>694</v>
      </c>
      <c r="F935" s="6" t="s">
        <v>692</v>
      </c>
      <c r="G935" s="15" t="str" cm="1">
        <f t="array" ref="G935">MultiMatchPrefix(Table_Data[[#This Row],[D ID]],Table_Mappings[Data ID],0,"",TRUE,";
")</f>
        <v/>
      </c>
      <c r="I935" s="19" t="s">
        <v>2632</v>
      </c>
      <c r="J935" s="19" t="s">
        <v>715</v>
      </c>
      <c r="M935" s="19" t="s">
        <v>2673</v>
      </c>
      <c r="N935" s="181">
        <v>100</v>
      </c>
    </row>
    <row r="936" spans="1:14" x14ac:dyDescent="0.25">
      <c r="A936" s="20" t="s">
        <v>2213</v>
      </c>
      <c r="B936" s="11" t="s">
        <v>640</v>
      </c>
      <c r="C936" s="6" t="s">
        <v>2198</v>
      </c>
      <c r="D936" s="6" t="s">
        <v>696</v>
      </c>
      <c r="E936" s="17"/>
      <c r="F936" s="6" t="s">
        <v>81</v>
      </c>
      <c r="G936" s="15" t="str" cm="1">
        <f t="array" ref="G936">MultiMatchPrefix(Table_Data[[#This Row],[D ID]],Table_Mappings[Data ID],0,"",TRUE,";
")</f>
        <v/>
      </c>
      <c r="I936" s="19" t="s">
        <v>2632</v>
      </c>
      <c r="J936" s="19" t="s">
        <v>715</v>
      </c>
      <c r="N936" s="181">
        <v>100</v>
      </c>
    </row>
    <row r="937" spans="1:14" x14ac:dyDescent="0.25">
      <c r="A937" s="20" t="s">
        <v>2214</v>
      </c>
      <c r="B937" s="11" t="s">
        <v>643</v>
      </c>
      <c r="C937" s="6" t="s">
        <v>2198</v>
      </c>
      <c r="D937" s="6" t="s">
        <v>696</v>
      </c>
      <c r="E937" s="6" t="s">
        <v>698</v>
      </c>
      <c r="F937" s="6" t="s">
        <v>81</v>
      </c>
      <c r="G937" s="15" t="str" cm="1">
        <f t="array" ref="G937">MultiMatchPrefix(Table_Data[[#This Row],[D ID]],Table_Mappings[Data ID],0,"",TRUE,";
")</f>
        <v/>
      </c>
      <c r="I937" s="19" t="s">
        <v>2632</v>
      </c>
      <c r="J937" s="19" t="s">
        <v>715</v>
      </c>
      <c r="K937" s="19" t="s">
        <v>2613</v>
      </c>
      <c r="L937" s="19" t="s">
        <v>2614</v>
      </c>
      <c r="N937" s="181">
        <v>100</v>
      </c>
    </row>
    <row r="938" spans="1:14" ht="13" x14ac:dyDescent="0.25">
      <c r="A938" s="20" t="s">
        <v>2215</v>
      </c>
      <c r="B938" s="11" t="s">
        <v>643</v>
      </c>
      <c r="C938" s="153" t="s">
        <v>2198</v>
      </c>
      <c r="D938" s="153" t="s">
        <v>696</v>
      </c>
      <c r="E938" s="153" t="s">
        <v>694</v>
      </c>
      <c r="F938" s="6" t="s">
        <v>692</v>
      </c>
      <c r="G938" s="15" t="str" cm="1">
        <f t="array" ref="G938">MultiMatchPrefix(Table_Data[[#This Row],[D ID]],Table_Mappings[Data ID],0,"",TRUE,";
")</f>
        <v/>
      </c>
      <c r="I938" s="19" t="s">
        <v>2632</v>
      </c>
      <c r="J938" s="19" t="s">
        <v>715</v>
      </c>
      <c r="K938" s="19" t="s">
        <v>715</v>
      </c>
      <c r="L938" s="19" t="s">
        <v>2612</v>
      </c>
      <c r="N938" s="181">
        <v>100</v>
      </c>
    </row>
    <row r="939" spans="1:14" x14ac:dyDescent="0.25">
      <c r="A939" s="20" t="s">
        <v>562</v>
      </c>
      <c r="B939" s="11" t="s">
        <v>79</v>
      </c>
      <c r="C939" s="6" t="s">
        <v>2216</v>
      </c>
      <c r="D939" s="17"/>
      <c r="E939" s="17"/>
      <c r="F939" s="6" t="s">
        <v>2217</v>
      </c>
      <c r="G939" s="15" t="str" cm="1">
        <f t="array" ref="G939">MultiMatchPrefix(Table_Data[[#This Row],[D ID]],Table_Mappings[Data ID],0,"",TRUE,";
")</f>
        <v xml:space="preserve">09.02 Reporting - Procurement </v>
      </c>
    </row>
    <row r="940" spans="1:14" x14ac:dyDescent="0.25">
      <c r="A940" s="20" t="s">
        <v>2218</v>
      </c>
      <c r="B940" s="11" t="s">
        <v>640</v>
      </c>
      <c r="C940" s="6" t="s">
        <v>2216</v>
      </c>
      <c r="D940" s="6" t="s">
        <v>2219</v>
      </c>
      <c r="E940" s="17"/>
      <c r="F940" s="6"/>
      <c r="G940" s="15" t="str">
        <f t="array" ref="G940">MultiMatchPrefix(Table_Data[[#This Row],[D ID]],Table_Mappings[Data ID],0,"",TRUE,";
")</f>
        <v/>
      </c>
    </row>
    <row r="941" spans="1:14" x14ac:dyDescent="0.25">
      <c r="A941" s="20" t="s">
        <v>2220</v>
      </c>
      <c r="B941" s="11" t="s">
        <v>643</v>
      </c>
      <c r="C941" s="6" t="s">
        <v>2216</v>
      </c>
      <c r="D941" s="6" t="s">
        <v>2219</v>
      </c>
      <c r="E941" s="6" t="s">
        <v>2221</v>
      </c>
      <c r="F941" s="6" t="s">
        <v>81</v>
      </c>
      <c r="G941" s="15" t="str" cm="1">
        <f t="array" ref="G941">MultiMatchPrefix(Table_Data[[#This Row],[D ID]],Table_Mappings[Data ID],0,"",TRUE,";
")</f>
        <v/>
      </c>
    </row>
    <row r="942" spans="1:14" x14ac:dyDescent="0.25">
      <c r="A942" s="20" t="s">
        <v>2222</v>
      </c>
      <c r="B942" s="11" t="s">
        <v>640</v>
      </c>
      <c r="C942" s="6" t="s">
        <v>2216</v>
      </c>
      <c r="D942" s="6" t="s">
        <v>2223</v>
      </c>
      <c r="E942" s="17"/>
      <c r="F942" s="6"/>
      <c r="G942" s="15" t="str">
        <f t="array" ref="G942">MultiMatchPrefix(Table_Data[[#This Row],[D ID]],Table_Mappings[Data ID],0,"",TRUE,";
")</f>
        <v/>
      </c>
    </row>
    <row r="943" spans="1:14" x14ac:dyDescent="0.25">
      <c r="A943" s="20" t="s">
        <v>2224</v>
      </c>
      <c r="B943" s="11" t="s">
        <v>643</v>
      </c>
      <c r="C943" s="6" t="s">
        <v>2216</v>
      </c>
      <c r="D943" s="6" t="s">
        <v>2223</v>
      </c>
      <c r="E943" s="6" t="s">
        <v>925</v>
      </c>
      <c r="F943" s="6" t="s">
        <v>81</v>
      </c>
      <c r="G943" s="15" t="str" cm="1">
        <f t="array" ref="G943">MultiMatchPrefix(Table_Data[[#This Row],[D ID]],Table_Mappings[Data ID],0,"",TRUE,";
")</f>
        <v/>
      </c>
    </row>
    <row r="944" spans="1:14" x14ac:dyDescent="0.25">
      <c r="A944" s="20" t="s">
        <v>2225</v>
      </c>
      <c r="B944" s="11" t="s">
        <v>643</v>
      </c>
      <c r="C944" s="6" t="s">
        <v>2216</v>
      </c>
      <c r="D944" s="6" t="s">
        <v>2223</v>
      </c>
      <c r="E944" s="6" t="s">
        <v>721</v>
      </c>
      <c r="F944" s="6" t="s">
        <v>81</v>
      </c>
      <c r="G944" s="15" t="str" cm="1">
        <f t="array" ref="G944">MultiMatchPrefix(Table_Data[[#This Row],[D ID]],Table_Mappings[Data ID],0,"",TRUE,";
")</f>
        <v/>
      </c>
    </row>
    <row r="945" spans="1:7" x14ac:dyDescent="0.25">
      <c r="A945" s="20" t="s">
        <v>2226</v>
      </c>
      <c r="B945" s="11" t="s">
        <v>643</v>
      </c>
      <c r="C945" s="6" t="s">
        <v>2216</v>
      </c>
      <c r="D945" s="6" t="s">
        <v>2223</v>
      </c>
      <c r="E945" s="6" t="s">
        <v>723</v>
      </c>
      <c r="F945" s="6" t="s">
        <v>81</v>
      </c>
      <c r="G945" s="15" t="str" cm="1">
        <f t="array" ref="G945">MultiMatchPrefix(Table_Data[[#This Row],[D ID]],Table_Mappings[Data ID],0,"",TRUE,";
")</f>
        <v/>
      </c>
    </row>
    <row r="946" spans="1:7" x14ac:dyDescent="0.25">
      <c r="A946" s="20" t="s">
        <v>2227</v>
      </c>
      <c r="B946" s="11" t="s">
        <v>643</v>
      </c>
      <c r="C946" s="6" t="s">
        <v>2216</v>
      </c>
      <c r="D946" s="6" t="s">
        <v>2223</v>
      </c>
      <c r="E946" s="6" t="s">
        <v>652</v>
      </c>
      <c r="F946" s="6" t="s">
        <v>81</v>
      </c>
      <c r="G946" s="15" t="str" cm="1">
        <f t="array" ref="G946">MultiMatchPrefix(Table_Data[[#This Row],[D ID]],Table_Mappings[Data ID],0,"",TRUE,";
")</f>
        <v/>
      </c>
    </row>
    <row r="947" spans="1:7" x14ac:dyDescent="0.25">
      <c r="A947" s="20" t="s">
        <v>2228</v>
      </c>
      <c r="B947" s="11" t="s">
        <v>643</v>
      </c>
      <c r="C947" s="6" t="s">
        <v>2216</v>
      </c>
      <c r="D947" s="6" t="s">
        <v>2223</v>
      </c>
      <c r="E947" s="6" t="s">
        <v>781</v>
      </c>
      <c r="F947" s="6" t="s">
        <v>81</v>
      </c>
      <c r="G947" s="15" t="str" cm="1">
        <f t="array" ref="G947">MultiMatchPrefix(Table_Data[[#This Row],[D ID]],Table_Mappings[Data ID],0,"",TRUE,";
")</f>
        <v/>
      </c>
    </row>
    <row r="948" spans="1:7" x14ac:dyDescent="0.25">
      <c r="A948" s="20" t="s">
        <v>2229</v>
      </c>
      <c r="B948" s="11" t="s">
        <v>643</v>
      </c>
      <c r="C948" s="6" t="s">
        <v>2216</v>
      </c>
      <c r="D948" s="6" t="s">
        <v>2223</v>
      </c>
      <c r="E948" s="6" t="s">
        <v>2230</v>
      </c>
      <c r="F948" s="6" t="s">
        <v>81</v>
      </c>
      <c r="G948" s="15" t="str" cm="1">
        <f t="array" ref="G948">MultiMatchPrefix(Table_Data[[#This Row],[D ID]],Table_Mappings[Data ID],0,"",TRUE,";
")</f>
        <v/>
      </c>
    </row>
    <row r="949" spans="1:7" x14ac:dyDescent="0.25">
      <c r="A949" s="20" t="s">
        <v>2231</v>
      </c>
      <c r="B949" s="11" t="s">
        <v>643</v>
      </c>
      <c r="C949" s="6" t="s">
        <v>2216</v>
      </c>
      <c r="D949" s="6" t="s">
        <v>2223</v>
      </c>
      <c r="E949" s="6" t="s">
        <v>2232</v>
      </c>
      <c r="F949" s="6" t="s">
        <v>81</v>
      </c>
      <c r="G949" s="15" t="str" cm="1">
        <f t="array" ref="G949">MultiMatchPrefix(Table_Data[[#This Row],[D ID]],Table_Mappings[Data ID],0,"",TRUE,";
")</f>
        <v/>
      </c>
    </row>
    <row r="950" spans="1:7" x14ac:dyDescent="0.25">
      <c r="A950" s="20" t="s">
        <v>564</v>
      </c>
      <c r="B950" s="11" t="s">
        <v>79</v>
      </c>
      <c r="C950" s="6" t="s">
        <v>2233</v>
      </c>
      <c r="D950" s="17"/>
      <c r="E950" s="17"/>
      <c r="F950" s="6" t="s">
        <v>2234</v>
      </c>
      <c r="G950" s="15" t="str" cm="1">
        <f t="array" ref="G950">MultiMatchPrefix(Table_Data[[#This Row],[D ID]],Table_Mappings[Data ID],0,"",TRUE,";
")</f>
        <v xml:space="preserve">09.02 Reporting - Procurement </v>
      </c>
    </row>
    <row r="951" spans="1:7" ht="25" x14ac:dyDescent="0.25">
      <c r="A951" s="20" t="s">
        <v>2235</v>
      </c>
      <c r="B951" s="11" t="s">
        <v>640</v>
      </c>
      <c r="C951" s="6" t="s">
        <v>2233</v>
      </c>
      <c r="D951" s="6" t="s">
        <v>2236</v>
      </c>
      <c r="E951" s="17"/>
      <c r="F951" s="6"/>
      <c r="G951" s="15" t="str">
        <f t="array" ref="G951">MultiMatchPrefix(Table_Data[[#This Row],[D ID]],Table_Mappings[Data ID],0,"",TRUE,";
")</f>
        <v/>
      </c>
    </row>
    <row r="952" spans="1:7" ht="25" x14ac:dyDescent="0.25">
      <c r="A952" s="20" t="s">
        <v>2237</v>
      </c>
      <c r="B952" s="11" t="s">
        <v>643</v>
      </c>
      <c r="C952" s="6" t="s">
        <v>2233</v>
      </c>
      <c r="D952" s="6" t="s">
        <v>2236</v>
      </c>
      <c r="E952" s="6" t="s">
        <v>2221</v>
      </c>
      <c r="F952" s="6" t="s">
        <v>81</v>
      </c>
      <c r="G952" s="15" t="str" cm="1">
        <f t="array" ref="G952">MultiMatchPrefix(Table_Data[[#This Row],[D ID]],Table_Mappings[Data ID],0,"",TRUE,";
")</f>
        <v/>
      </c>
    </row>
    <row r="953" spans="1:7" x14ac:dyDescent="0.25">
      <c r="A953" s="20" t="s">
        <v>2238</v>
      </c>
      <c r="B953" s="11" t="s">
        <v>640</v>
      </c>
      <c r="C953" s="6" t="s">
        <v>2233</v>
      </c>
      <c r="D953" s="6" t="s">
        <v>2239</v>
      </c>
      <c r="E953" s="17"/>
      <c r="F953" s="6"/>
      <c r="G953" s="15" t="str">
        <f t="array" ref="G953">MultiMatchPrefix(Table_Data[[#This Row],[D ID]],Table_Mappings[Data ID],0,"",TRUE,";
")</f>
        <v/>
      </c>
    </row>
    <row r="954" spans="1:7" x14ac:dyDescent="0.25">
      <c r="A954" s="20" t="s">
        <v>2240</v>
      </c>
      <c r="B954" s="11" t="s">
        <v>643</v>
      </c>
      <c r="C954" s="6" t="s">
        <v>2233</v>
      </c>
      <c r="D954" s="6" t="s">
        <v>2239</v>
      </c>
      <c r="E954" s="6" t="s">
        <v>925</v>
      </c>
      <c r="F954" s="6" t="s">
        <v>81</v>
      </c>
      <c r="G954" s="15" t="str" cm="1">
        <f t="array" ref="G954">MultiMatchPrefix(Table_Data[[#This Row],[D ID]],Table_Mappings[Data ID],0,"",TRUE,";
")</f>
        <v/>
      </c>
    </row>
    <row r="955" spans="1:7" x14ac:dyDescent="0.25">
      <c r="A955" s="20" t="s">
        <v>2241</v>
      </c>
      <c r="B955" s="11" t="s">
        <v>643</v>
      </c>
      <c r="C955" s="6" t="s">
        <v>2233</v>
      </c>
      <c r="D955" s="6" t="s">
        <v>2239</v>
      </c>
      <c r="E955" s="6" t="s">
        <v>721</v>
      </c>
      <c r="F955" s="6" t="s">
        <v>81</v>
      </c>
      <c r="G955" s="15" t="str" cm="1">
        <f t="array" ref="G955">MultiMatchPrefix(Table_Data[[#This Row],[D ID]],Table_Mappings[Data ID],0,"",TRUE,";
")</f>
        <v/>
      </c>
    </row>
    <row r="956" spans="1:7" x14ac:dyDescent="0.25">
      <c r="A956" s="20" t="s">
        <v>2242</v>
      </c>
      <c r="B956" s="11" t="s">
        <v>643</v>
      </c>
      <c r="C956" s="6" t="s">
        <v>2233</v>
      </c>
      <c r="D956" s="6" t="s">
        <v>2239</v>
      </c>
      <c r="E956" s="6" t="s">
        <v>644</v>
      </c>
      <c r="F956" s="6" t="s">
        <v>81</v>
      </c>
      <c r="G956" s="15" t="str" cm="1">
        <f t="array" ref="G956">MultiMatchPrefix(Table_Data[[#This Row],[D ID]],Table_Mappings[Data ID],0,"",TRUE,";
")</f>
        <v/>
      </c>
    </row>
    <row r="957" spans="1:7" x14ac:dyDescent="0.25">
      <c r="A957" s="20" t="s">
        <v>2243</v>
      </c>
      <c r="B957" s="11" t="s">
        <v>643</v>
      </c>
      <c r="C957" s="6" t="s">
        <v>2233</v>
      </c>
      <c r="D957" s="6" t="s">
        <v>2239</v>
      </c>
      <c r="E957" s="6" t="s">
        <v>646</v>
      </c>
      <c r="F957" s="6" t="s">
        <v>81</v>
      </c>
      <c r="G957" s="15" t="str" cm="1">
        <f t="array" ref="G957">MultiMatchPrefix(Table_Data[[#This Row],[D ID]],Table_Mappings[Data ID],0,"",TRUE,";
")</f>
        <v/>
      </c>
    </row>
    <row r="958" spans="1:7" x14ac:dyDescent="0.25">
      <c r="A958" s="20" t="s">
        <v>2244</v>
      </c>
      <c r="B958" s="11" t="s">
        <v>643</v>
      </c>
      <c r="C958" s="6" t="s">
        <v>2233</v>
      </c>
      <c r="D958" s="6" t="s">
        <v>2239</v>
      </c>
      <c r="E958" s="6" t="s">
        <v>652</v>
      </c>
      <c r="F958" s="6" t="s">
        <v>81</v>
      </c>
      <c r="G958" s="15" t="str" cm="1">
        <f t="array" ref="G958">MultiMatchPrefix(Table_Data[[#This Row],[D ID]],Table_Mappings[Data ID],0,"",TRUE,";
")</f>
        <v/>
      </c>
    </row>
    <row r="959" spans="1:7" x14ac:dyDescent="0.25">
      <c r="A959" s="20" t="s">
        <v>2245</v>
      </c>
      <c r="B959" s="11" t="s">
        <v>643</v>
      </c>
      <c r="C959" s="6" t="s">
        <v>2233</v>
      </c>
      <c r="D959" s="6" t="s">
        <v>2239</v>
      </c>
      <c r="E959" s="6" t="s">
        <v>2246</v>
      </c>
      <c r="F959" s="6" t="s">
        <v>81</v>
      </c>
      <c r="G959" s="15" t="str" cm="1">
        <f t="array" ref="G959">MultiMatchPrefix(Table_Data[[#This Row],[D ID]],Table_Mappings[Data ID],0,"",TRUE,";
")</f>
        <v/>
      </c>
    </row>
    <row r="960" spans="1:7" x14ac:dyDescent="0.25">
      <c r="A960" s="20" t="s">
        <v>566</v>
      </c>
      <c r="B960" s="11" t="s">
        <v>79</v>
      </c>
      <c r="C960" s="6" t="s">
        <v>2247</v>
      </c>
      <c r="D960" s="17"/>
      <c r="E960" s="17"/>
      <c r="F960" s="6" t="s">
        <v>2248</v>
      </c>
      <c r="G960" s="15" t="str" cm="1">
        <f t="array" ref="G960">MultiMatchPrefix(Table_Data[[#This Row],[D ID]],Table_Mappings[Data ID],0,"",TRUE,";
")</f>
        <v xml:space="preserve">09.02 Reporting - Procurement </v>
      </c>
    </row>
    <row r="961" spans="1:7" ht="25" x14ac:dyDescent="0.25">
      <c r="A961" s="20" t="s">
        <v>2249</v>
      </c>
      <c r="B961" s="11" t="s">
        <v>640</v>
      </c>
      <c r="C961" s="6" t="s">
        <v>2247</v>
      </c>
      <c r="D961" s="6" t="s">
        <v>2250</v>
      </c>
      <c r="E961" s="17"/>
      <c r="F961" s="6"/>
      <c r="G961" s="15" t="str">
        <f t="array" ref="G961">MultiMatchPrefix(Table_Data[[#This Row],[D ID]],Table_Mappings[Data ID],0,"",TRUE,";
")</f>
        <v/>
      </c>
    </row>
    <row r="962" spans="1:7" ht="25" x14ac:dyDescent="0.25">
      <c r="A962" s="20" t="s">
        <v>2251</v>
      </c>
      <c r="B962" s="11" t="s">
        <v>643</v>
      </c>
      <c r="C962" s="6" t="s">
        <v>2247</v>
      </c>
      <c r="D962" s="6" t="s">
        <v>2250</v>
      </c>
      <c r="E962" s="6" t="s">
        <v>2221</v>
      </c>
      <c r="F962" s="6" t="s">
        <v>81</v>
      </c>
      <c r="G962" s="15" t="str" cm="1">
        <f t="array" ref="G962">MultiMatchPrefix(Table_Data[[#This Row],[D ID]],Table_Mappings[Data ID],0,"",TRUE,";
")</f>
        <v/>
      </c>
    </row>
    <row r="963" spans="1:7" ht="25" x14ac:dyDescent="0.25">
      <c r="A963" s="20" t="s">
        <v>2252</v>
      </c>
      <c r="B963" s="11" t="s">
        <v>643</v>
      </c>
      <c r="C963" s="6" t="s">
        <v>2247</v>
      </c>
      <c r="D963" s="6" t="s">
        <v>2250</v>
      </c>
      <c r="E963" s="6" t="s">
        <v>721</v>
      </c>
      <c r="F963" s="6" t="s">
        <v>81</v>
      </c>
      <c r="G963" s="15" t="str" cm="1">
        <f t="array" ref="G963">MultiMatchPrefix(Table_Data[[#This Row],[D ID]],Table_Mappings[Data ID],0,"",TRUE,";
")</f>
        <v/>
      </c>
    </row>
    <row r="964" spans="1:7" ht="25" x14ac:dyDescent="0.25">
      <c r="A964" s="20" t="s">
        <v>2253</v>
      </c>
      <c r="B964" s="11" t="s">
        <v>643</v>
      </c>
      <c r="C964" s="6" t="s">
        <v>2247</v>
      </c>
      <c r="D964" s="6" t="s">
        <v>2250</v>
      </c>
      <c r="E964" s="6" t="s">
        <v>723</v>
      </c>
      <c r="F964" s="6" t="s">
        <v>81</v>
      </c>
      <c r="G964" s="15" t="str" cm="1">
        <f t="array" ref="G964">MultiMatchPrefix(Table_Data[[#This Row],[D ID]],Table_Mappings[Data ID],0,"",TRUE,";
")</f>
        <v/>
      </c>
    </row>
    <row r="965" spans="1:7" ht="25" x14ac:dyDescent="0.25">
      <c r="A965" s="20" t="s">
        <v>2254</v>
      </c>
      <c r="B965" s="11" t="s">
        <v>640</v>
      </c>
      <c r="C965" s="6" t="s">
        <v>2247</v>
      </c>
      <c r="D965" s="6" t="s">
        <v>2255</v>
      </c>
      <c r="E965" s="17"/>
      <c r="F965" s="6"/>
      <c r="G965" s="15" t="str">
        <f t="array" ref="G965">MultiMatchPrefix(Table_Data[[#This Row],[D ID]],Table_Mappings[Data ID],0,"",TRUE,";
")</f>
        <v/>
      </c>
    </row>
    <row r="966" spans="1:7" ht="25" x14ac:dyDescent="0.25">
      <c r="A966" s="20" t="s">
        <v>2256</v>
      </c>
      <c r="B966" s="11" t="s">
        <v>643</v>
      </c>
      <c r="C966" s="6" t="s">
        <v>2247</v>
      </c>
      <c r="D966" s="6" t="s">
        <v>2255</v>
      </c>
      <c r="E966" s="6" t="s">
        <v>925</v>
      </c>
      <c r="F966" s="6" t="s">
        <v>81</v>
      </c>
      <c r="G966" s="15" t="str" cm="1">
        <f t="array" ref="G966">MultiMatchPrefix(Table_Data[[#This Row],[D ID]],Table_Mappings[Data ID],0,"",TRUE,";
")</f>
        <v/>
      </c>
    </row>
    <row r="967" spans="1:7" ht="25" x14ac:dyDescent="0.25">
      <c r="A967" s="20" t="s">
        <v>2257</v>
      </c>
      <c r="B967" s="11" t="s">
        <v>643</v>
      </c>
      <c r="C967" s="6" t="s">
        <v>2247</v>
      </c>
      <c r="D967" s="6" t="s">
        <v>2255</v>
      </c>
      <c r="E967" s="6" t="s">
        <v>1061</v>
      </c>
      <c r="F967" s="6" t="s">
        <v>81</v>
      </c>
      <c r="G967" s="15" t="str" cm="1">
        <f t="array" ref="G967">MultiMatchPrefix(Table_Data[[#This Row],[D ID]],Table_Mappings[Data ID],0,"",TRUE,";
")</f>
        <v/>
      </c>
    </row>
    <row r="968" spans="1:7" ht="25" x14ac:dyDescent="0.25">
      <c r="A968" s="20" t="s">
        <v>2258</v>
      </c>
      <c r="B968" s="11" t="s">
        <v>643</v>
      </c>
      <c r="C968" s="6" t="s">
        <v>2247</v>
      </c>
      <c r="D968" s="6" t="s">
        <v>2255</v>
      </c>
      <c r="E968" s="6" t="s">
        <v>2259</v>
      </c>
      <c r="F968" s="6" t="s">
        <v>81</v>
      </c>
      <c r="G968" s="15" t="str" cm="1">
        <f t="array" ref="G968">MultiMatchPrefix(Table_Data[[#This Row],[D ID]],Table_Mappings[Data ID],0,"",TRUE,";
")</f>
        <v/>
      </c>
    </row>
    <row r="969" spans="1:7" ht="25" x14ac:dyDescent="0.25">
      <c r="A969" s="20" t="s">
        <v>2260</v>
      </c>
      <c r="B969" s="11" t="s">
        <v>643</v>
      </c>
      <c r="C969" s="6" t="s">
        <v>2247</v>
      </c>
      <c r="D969" s="6" t="s">
        <v>2255</v>
      </c>
      <c r="E969" s="6" t="s">
        <v>2261</v>
      </c>
      <c r="F969" s="6" t="s">
        <v>81</v>
      </c>
      <c r="G969" s="15" t="str" cm="1">
        <f t="array" ref="G969">MultiMatchPrefix(Table_Data[[#This Row],[D ID]],Table_Mappings[Data ID],0,"",TRUE,";
")</f>
        <v/>
      </c>
    </row>
    <row r="970" spans="1:7" ht="25" x14ac:dyDescent="0.25">
      <c r="A970" s="20" t="s">
        <v>2262</v>
      </c>
      <c r="B970" s="11" t="s">
        <v>643</v>
      </c>
      <c r="C970" s="6" t="s">
        <v>2247</v>
      </c>
      <c r="D970" s="6" t="s">
        <v>2255</v>
      </c>
      <c r="E970" s="6" t="s">
        <v>936</v>
      </c>
      <c r="F970" s="6" t="s">
        <v>81</v>
      </c>
      <c r="G970" s="15" t="str" cm="1">
        <f t="array" ref="G970">MultiMatchPrefix(Table_Data[[#This Row],[D ID]],Table_Mappings[Data ID],0,"",TRUE,";
")</f>
        <v/>
      </c>
    </row>
    <row r="971" spans="1:7" ht="25" x14ac:dyDescent="0.25">
      <c r="A971" s="20" t="s">
        <v>2263</v>
      </c>
      <c r="B971" s="11" t="s">
        <v>643</v>
      </c>
      <c r="C971" s="6" t="s">
        <v>2247</v>
      </c>
      <c r="D971" s="6" t="s">
        <v>2255</v>
      </c>
      <c r="E971" s="6" t="s">
        <v>2264</v>
      </c>
      <c r="F971" s="6" t="s">
        <v>81</v>
      </c>
      <c r="G971" s="15" t="str" cm="1">
        <f t="array" ref="G971">MultiMatchPrefix(Table_Data[[#This Row],[D ID]],Table_Mappings[Data ID],0,"",TRUE,";
")</f>
        <v/>
      </c>
    </row>
    <row r="972" spans="1:7" x14ac:dyDescent="0.25">
      <c r="A972" s="20" t="s">
        <v>568</v>
      </c>
      <c r="B972" s="11" t="s">
        <v>79</v>
      </c>
      <c r="C972" s="6" t="s">
        <v>2265</v>
      </c>
      <c r="D972" s="17"/>
      <c r="E972" s="17"/>
      <c r="F972" s="6" t="s">
        <v>2266</v>
      </c>
      <c r="G972" s="15" t="str" cm="1">
        <f t="array" ref="G972">MultiMatchPrefix(Table_Data[[#This Row],[D ID]],Table_Mappings[Data ID],0,"",TRUE,";
")</f>
        <v xml:space="preserve">09.02 Reporting - Procurement </v>
      </c>
    </row>
    <row r="973" spans="1:7" x14ac:dyDescent="0.25">
      <c r="A973" s="20" t="s">
        <v>2267</v>
      </c>
      <c r="B973" s="11" t="s">
        <v>640</v>
      </c>
      <c r="C973" s="6" t="s">
        <v>2265</v>
      </c>
      <c r="D973" s="6" t="s">
        <v>2268</v>
      </c>
      <c r="E973" s="17"/>
      <c r="F973" s="6"/>
      <c r="G973" s="15" t="str">
        <f t="array" ref="G973">MultiMatchPrefix(Table_Data[[#This Row],[D ID]],Table_Mappings[Data ID],0,"",TRUE,";
")</f>
        <v/>
      </c>
    </row>
    <row r="974" spans="1:7" x14ac:dyDescent="0.25">
      <c r="A974" s="20" t="s">
        <v>2269</v>
      </c>
      <c r="B974" s="11" t="s">
        <v>643</v>
      </c>
      <c r="C974" s="6" t="s">
        <v>2265</v>
      </c>
      <c r="D974" s="6" t="s">
        <v>2268</v>
      </c>
      <c r="E974" s="6" t="s">
        <v>644</v>
      </c>
      <c r="F974" s="6" t="s">
        <v>81</v>
      </c>
      <c r="G974" s="15" t="str" cm="1">
        <f t="array" ref="G974">MultiMatchPrefix(Table_Data[[#This Row],[D ID]],Table_Mappings[Data ID],0,"",TRUE,";
")</f>
        <v/>
      </c>
    </row>
    <row r="975" spans="1:7" x14ac:dyDescent="0.25">
      <c r="A975" s="20" t="s">
        <v>2270</v>
      </c>
      <c r="B975" s="11" t="s">
        <v>643</v>
      </c>
      <c r="C975" s="6" t="s">
        <v>2265</v>
      </c>
      <c r="D975" s="6" t="s">
        <v>2268</v>
      </c>
      <c r="E975" s="6" t="s">
        <v>679</v>
      </c>
      <c r="F975" s="6" t="s">
        <v>81</v>
      </c>
      <c r="G975" s="15" t="str" cm="1">
        <f t="array" ref="G975">MultiMatchPrefix(Table_Data[[#This Row],[D ID]],Table_Mappings[Data ID],0,"",TRUE,";
")</f>
        <v/>
      </c>
    </row>
    <row r="976" spans="1:7" x14ac:dyDescent="0.25">
      <c r="A976" s="20" t="s">
        <v>2271</v>
      </c>
      <c r="B976" s="11" t="s">
        <v>643</v>
      </c>
      <c r="C976" s="6" t="s">
        <v>2265</v>
      </c>
      <c r="D976" s="6" t="s">
        <v>2268</v>
      </c>
      <c r="E976" s="6" t="s">
        <v>2221</v>
      </c>
      <c r="F976" s="6" t="s">
        <v>81</v>
      </c>
      <c r="G976" s="15" t="str" cm="1">
        <f t="array" ref="G976">MultiMatchPrefix(Table_Data[[#This Row],[D ID]],Table_Mappings[Data ID],0,"",TRUE,";
")</f>
        <v/>
      </c>
    </row>
    <row r="977" spans="1:14" x14ac:dyDescent="0.25">
      <c r="A977" s="20" t="s">
        <v>2272</v>
      </c>
      <c r="B977" s="11" t="s">
        <v>643</v>
      </c>
      <c r="C977" s="6" t="s">
        <v>2265</v>
      </c>
      <c r="D977" s="6" t="s">
        <v>2268</v>
      </c>
      <c r="E977" s="6" t="s">
        <v>1917</v>
      </c>
      <c r="F977" s="6"/>
      <c r="G977" s="15" t="str" cm="1">
        <f t="array" ref="G977">MultiMatchPrefix(Table_Data[[#This Row],[D ID]],Table_Mappings[Data ID],0,"",TRUE,";
")</f>
        <v/>
      </c>
    </row>
    <row r="978" spans="1:14" x14ac:dyDescent="0.25">
      <c r="A978" s="20" t="s">
        <v>2273</v>
      </c>
      <c r="B978" s="11" t="s">
        <v>643</v>
      </c>
      <c r="C978" s="6" t="s">
        <v>2265</v>
      </c>
      <c r="D978" s="6" t="s">
        <v>2268</v>
      </c>
      <c r="E978" s="6" t="s">
        <v>1914</v>
      </c>
      <c r="F978" s="6"/>
      <c r="G978" s="15" t="str" cm="1">
        <f t="array" ref="G978">MultiMatchPrefix(Table_Data[[#This Row],[D ID]],Table_Mappings[Data ID],0,"",TRUE,";
")</f>
        <v/>
      </c>
    </row>
    <row r="979" spans="1:14" x14ac:dyDescent="0.25">
      <c r="A979" s="20" t="s">
        <v>2274</v>
      </c>
      <c r="B979" s="11" t="s">
        <v>640</v>
      </c>
      <c r="C979" s="6" t="s">
        <v>2265</v>
      </c>
      <c r="D979" s="6" t="s">
        <v>2275</v>
      </c>
      <c r="E979" s="17"/>
      <c r="F979" s="6"/>
      <c r="G979" s="15" t="str">
        <f t="array" ref="G979">MultiMatchPrefix(Table_Data[[#This Row],[D ID]],Table_Mappings[Data ID],0,"",TRUE,";
")</f>
        <v/>
      </c>
    </row>
    <row r="980" spans="1:14" x14ac:dyDescent="0.25">
      <c r="A980" s="20" t="s">
        <v>2276</v>
      </c>
      <c r="B980" s="11" t="s">
        <v>643</v>
      </c>
      <c r="C980" s="6" t="s">
        <v>2265</v>
      </c>
      <c r="D980" s="6" t="s">
        <v>2275</v>
      </c>
      <c r="E980" s="6" t="s">
        <v>644</v>
      </c>
      <c r="F980" s="6" t="s">
        <v>81</v>
      </c>
      <c r="G980" s="15" t="str" cm="1">
        <f t="array" ref="G980">MultiMatchPrefix(Table_Data[[#This Row],[D ID]],Table_Mappings[Data ID],0,"",TRUE,";
")</f>
        <v/>
      </c>
    </row>
    <row r="981" spans="1:14" x14ac:dyDescent="0.25">
      <c r="A981" s="20" t="s">
        <v>2277</v>
      </c>
      <c r="B981" s="11" t="s">
        <v>643</v>
      </c>
      <c r="C981" s="6" t="s">
        <v>2265</v>
      </c>
      <c r="D981" s="6" t="s">
        <v>2275</v>
      </c>
      <c r="E981" s="6" t="s">
        <v>679</v>
      </c>
      <c r="F981" s="6" t="s">
        <v>81</v>
      </c>
      <c r="G981" s="15" t="str" cm="1">
        <f t="array" ref="G981">MultiMatchPrefix(Table_Data[[#This Row],[D ID]],Table_Mappings[Data ID],0,"",TRUE,";
")</f>
        <v/>
      </c>
    </row>
    <row r="982" spans="1:14" x14ac:dyDescent="0.25">
      <c r="A982" s="20" t="s">
        <v>2278</v>
      </c>
      <c r="B982" s="11" t="s">
        <v>643</v>
      </c>
      <c r="C982" s="6" t="s">
        <v>2265</v>
      </c>
      <c r="D982" s="6" t="s">
        <v>2275</v>
      </c>
      <c r="E982" s="6" t="s">
        <v>650</v>
      </c>
      <c r="F982" s="6" t="s">
        <v>81</v>
      </c>
      <c r="G982" s="15" t="str" cm="1">
        <f t="array" ref="G982">MultiMatchPrefix(Table_Data[[#This Row],[D ID]],Table_Mappings[Data ID],0,"",TRUE,";
")</f>
        <v/>
      </c>
    </row>
    <row r="983" spans="1:14" x14ac:dyDescent="0.25">
      <c r="A983" s="20" t="s">
        <v>2279</v>
      </c>
      <c r="B983" s="11" t="s">
        <v>643</v>
      </c>
      <c r="C983" s="6" t="s">
        <v>2265</v>
      </c>
      <c r="D983" s="6" t="s">
        <v>2275</v>
      </c>
      <c r="E983" s="6" t="s">
        <v>1703</v>
      </c>
      <c r="F983" s="6" t="s">
        <v>81</v>
      </c>
      <c r="G983" s="15" t="str" cm="1">
        <f t="array" ref="G983">MultiMatchPrefix(Table_Data[[#This Row],[D ID]],Table_Mappings[Data ID],0,"",TRUE,";
")</f>
        <v/>
      </c>
    </row>
    <row r="984" spans="1:14" x14ac:dyDescent="0.25">
      <c r="A984" s="20" t="s">
        <v>570</v>
      </c>
      <c r="B984" s="11" t="s">
        <v>79</v>
      </c>
      <c r="C984" s="6" t="s">
        <v>2280</v>
      </c>
      <c r="D984" s="17"/>
      <c r="E984" s="17"/>
      <c r="F984" s="6" t="s">
        <v>2281</v>
      </c>
      <c r="G984" s="15" t="str" cm="1">
        <f t="array" ref="G984">MultiMatchPrefix(Table_Data[[#This Row],[D ID]],Table_Mappings[Data ID],0,"",TRUE,";
")</f>
        <v xml:space="preserve">09.02 Reporting - Procurement </v>
      </c>
    </row>
    <row r="985" spans="1:14" x14ac:dyDescent="0.25">
      <c r="A985" s="20" t="s">
        <v>2282</v>
      </c>
      <c r="B985" s="11" t="s">
        <v>640</v>
      </c>
      <c r="C985" s="6" t="s">
        <v>2280</v>
      </c>
      <c r="D985" s="6" t="s">
        <v>2283</v>
      </c>
      <c r="E985" s="17"/>
      <c r="F985" s="6"/>
      <c r="G985" s="15" t="str">
        <f t="array" ref="G985">MultiMatchPrefix(Table_Data[[#This Row],[D ID]],Table_Mappings[Data ID],0,"",TRUE,";
")</f>
        <v/>
      </c>
    </row>
    <row r="986" spans="1:14" x14ac:dyDescent="0.25">
      <c r="A986" s="20" t="s">
        <v>2284</v>
      </c>
      <c r="B986" s="11" t="s">
        <v>643</v>
      </c>
      <c r="C986" s="6" t="s">
        <v>2280</v>
      </c>
      <c r="D986" s="6" t="s">
        <v>2283</v>
      </c>
      <c r="E986" s="6" t="s">
        <v>2221</v>
      </c>
      <c r="F986" s="6" t="s">
        <v>81</v>
      </c>
      <c r="G986" s="15" t="str" cm="1">
        <f t="array" ref="G986">MultiMatchPrefix(Table_Data[[#This Row],[D ID]],Table_Mappings[Data ID],0,"",TRUE,";
")</f>
        <v/>
      </c>
    </row>
    <row r="987" spans="1:14" x14ac:dyDescent="0.25">
      <c r="A987" s="20" t="s">
        <v>2285</v>
      </c>
      <c r="B987" s="11" t="s">
        <v>643</v>
      </c>
      <c r="C987" s="6" t="s">
        <v>2280</v>
      </c>
      <c r="D987" s="6" t="s">
        <v>2283</v>
      </c>
      <c r="E987" s="6" t="s">
        <v>1914</v>
      </c>
      <c r="F987" s="6" t="s">
        <v>81</v>
      </c>
      <c r="G987" s="15" t="str" cm="1">
        <f t="array" ref="G987">MultiMatchPrefix(Table_Data[[#This Row],[D ID]],Table_Mappings[Data ID],0,"",TRUE,";
")</f>
        <v/>
      </c>
    </row>
    <row r="988" spans="1:14" x14ac:dyDescent="0.25">
      <c r="A988" s="20" t="s">
        <v>2286</v>
      </c>
      <c r="B988" s="11" t="s">
        <v>643</v>
      </c>
      <c r="C988" s="6" t="s">
        <v>2280</v>
      </c>
      <c r="D988" s="6" t="s">
        <v>2283</v>
      </c>
      <c r="E988" s="6" t="s">
        <v>1917</v>
      </c>
      <c r="F988" s="6" t="s">
        <v>81</v>
      </c>
      <c r="G988" s="15" t="str" cm="1">
        <f t="array" ref="G988">MultiMatchPrefix(Table_Data[[#This Row],[D ID]],Table_Mappings[Data ID],0,"",TRUE,";
")</f>
        <v/>
      </c>
    </row>
    <row r="989" spans="1:14" x14ac:dyDescent="0.25">
      <c r="A989" s="20" t="s">
        <v>2287</v>
      </c>
      <c r="B989" s="11" t="s">
        <v>640</v>
      </c>
      <c r="C989" s="6" t="s">
        <v>2280</v>
      </c>
      <c r="D989" s="6" t="s">
        <v>2288</v>
      </c>
      <c r="E989" s="17"/>
      <c r="F989" s="6"/>
      <c r="G989" s="15" t="str" cm="1">
        <f t="array" ref="G989">MultiMatchPrefix(Table_Data[[#This Row],[D ID]],Table_Mappings[Data ID],0,"",TRUE,";
")</f>
        <v/>
      </c>
    </row>
    <row r="990" spans="1:14" x14ac:dyDescent="0.25">
      <c r="A990" s="20" t="s">
        <v>2289</v>
      </c>
      <c r="B990" s="11" t="s">
        <v>643</v>
      </c>
      <c r="C990" s="6" t="s">
        <v>2280</v>
      </c>
      <c r="D990" s="6" t="s">
        <v>2288</v>
      </c>
      <c r="E990" s="6" t="s">
        <v>644</v>
      </c>
      <c r="F990" s="6" t="s">
        <v>81</v>
      </c>
      <c r="G990" s="15" t="str" cm="1">
        <f t="array" ref="G990">MultiMatchPrefix(Table_Data[[#This Row],[D ID]],Table_Mappings[Data ID],0,"",TRUE,";
")</f>
        <v/>
      </c>
      <c r="I990" s="19" t="s">
        <v>2632</v>
      </c>
      <c r="J990" s="19" t="s">
        <v>641</v>
      </c>
      <c r="K990" s="19" t="s">
        <v>2678</v>
      </c>
      <c r="L990" s="19" t="s">
        <v>2682</v>
      </c>
      <c r="N990" s="181" t="s">
        <v>2639</v>
      </c>
    </row>
    <row r="991" spans="1:14" x14ac:dyDescent="0.25">
      <c r="A991" s="20" t="s">
        <v>2290</v>
      </c>
      <c r="B991" s="11" t="s">
        <v>643</v>
      </c>
      <c r="C991" s="6" t="s">
        <v>2280</v>
      </c>
      <c r="D991" s="6" t="s">
        <v>2288</v>
      </c>
      <c r="E991" s="6" t="s">
        <v>679</v>
      </c>
      <c r="F991" s="6" t="s">
        <v>81</v>
      </c>
      <c r="G991" s="15" t="str" cm="1">
        <f t="array" ref="G991">MultiMatchPrefix(Table_Data[[#This Row],[D ID]],Table_Mappings[Data ID],0,"",TRUE,";
")</f>
        <v/>
      </c>
      <c r="I991" s="19" t="s">
        <v>2632</v>
      </c>
      <c r="J991" s="19" t="s">
        <v>641</v>
      </c>
      <c r="K991" s="19" t="s">
        <v>2677</v>
      </c>
      <c r="L991" s="19" t="s">
        <v>2681</v>
      </c>
      <c r="N991" s="181" t="s">
        <v>2639</v>
      </c>
    </row>
    <row r="992" spans="1:14" x14ac:dyDescent="0.25">
      <c r="A992" s="20" t="s">
        <v>2291</v>
      </c>
      <c r="B992" s="11" t="s">
        <v>643</v>
      </c>
      <c r="C992" s="6" t="s">
        <v>2280</v>
      </c>
      <c r="D992" s="6" t="s">
        <v>2288</v>
      </c>
      <c r="E992" s="6" t="s">
        <v>721</v>
      </c>
      <c r="F992" s="6" t="s">
        <v>81</v>
      </c>
      <c r="G992" s="15" t="str" cm="1">
        <f t="array" ref="G992">MultiMatchPrefix(Table_Data[[#This Row],[D ID]],Table_Mappings[Data ID],0,"",TRUE,";
")</f>
        <v/>
      </c>
      <c r="J992" s="19" t="s">
        <v>2633</v>
      </c>
      <c r="K992" s="19" t="s">
        <v>2756</v>
      </c>
      <c r="L992" s="19" t="s">
        <v>2754</v>
      </c>
      <c r="N992" s="181">
        <v>100</v>
      </c>
    </row>
    <row r="993" spans="1:14" x14ac:dyDescent="0.25">
      <c r="A993" s="20" t="s">
        <v>2292</v>
      </c>
      <c r="B993" s="11" t="s">
        <v>643</v>
      </c>
      <c r="C993" s="6" t="s">
        <v>2280</v>
      </c>
      <c r="D993" s="6" t="s">
        <v>2288</v>
      </c>
      <c r="E993" s="6" t="s">
        <v>723</v>
      </c>
      <c r="F993" s="6" t="s">
        <v>81</v>
      </c>
      <c r="G993" s="15" t="str" cm="1">
        <f t="array" ref="G993">MultiMatchPrefix(Table_Data[[#This Row],[D ID]],Table_Mappings[Data ID],0,"",TRUE,";
")</f>
        <v/>
      </c>
      <c r="J993" s="19" t="s">
        <v>2633</v>
      </c>
      <c r="K993" s="19" t="s">
        <v>2755</v>
      </c>
      <c r="L993" s="19" t="s">
        <v>2614</v>
      </c>
      <c r="N993" s="181">
        <v>100</v>
      </c>
    </row>
    <row r="994" spans="1:14" x14ac:dyDescent="0.25">
      <c r="A994" s="20" t="s">
        <v>2293</v>
      </c>
      <c r="B994" s="11" t="s">
        <v>643</v>
      </c>
      <c r="C994" s="6" t="s">
        <v>2280</v>
      </c>
      <c r="D994" s="6" t="s">
        <v>2288</v>
      </c>
      <c r="E994" s="6" t="s">
        <v>650</v>
      </c>
      <c r="F994" s="6" t="s">
        <v>81</v>
      </c>
      <c r="G994" s="15" t="str" cm="1">
        <f t="array" ref="G994">MultiMatchPrefix(Table_Data[[#This Row],[D ID]],Table_Mappings[Data ID],0,"",TRUE,";
")</f>
        <v/>
      </c>
      <c r="I994" s="19" t="s">
        <v>2632</v>
      </c>
      <c r="J994" s="19" t="s">
        <v>1061</v>
      </c>
      <c r="K994" s="19" t="s">
        <v>1737</v>
      </c>
      <c r="L994" s="19" t="s">
        <v>2753</v>
      </c>
      <c r="N994" s="181" t="s">
        <v>2639</v>
      </c>
    </row>
    <row r="995" spans="1:14" x14ac:dyDescent="0.25">
      <c r="A995" s="20" t="s">
        <v>2294</v>
      </c>
      <c r="B995" s="11" t="s">
        <v>643</v>
      </c>
      <c r="C995" s="6" t="s">
        <v>2280</v>
      </c>
      <c r="D995" s="6" t="s">
        <v>2288</v>
      </c>
      <c r="E995" s="6" t="s">
        <v>1703</v>
      </c>
      <c r="F995" s="6" t="s">
        <v>81</v>
      </c>
      <c r="G995" s="15" t="str" cm="1">
        <f t="array" ref="G995">MultiMatchPrefix(Table_Data[[#This Row],[D ID]],Table_Mappings[Data ID],0,"",TRUE,";
")</f>
        <v/>
      </c>
    </row>
    <row r="996" spans="1:14" x14ac:dyDescent="0.25">
      <c r="A996" s="20" t="s">
        <v>572</v>
      </c>
      <c r="B996" s="11" t="s">
        <v>79</v>
      </c>
      <c r="C996" s="6" t="s">
        <v>49</v>
      </c>
      <c r="D996" s="17"/>
      <c r="E996" s="17"/>
      <c r="F996" s="155" t="s">
        <v>2295</v>
      </c>
      <c r="G996" s="15" t="str" cm="1">
        <f t="array" ref="G996">MultiMatchPrefix(Table_Data[[#This Row],[D ID]],Table_Mappings[Data ID],0,"",TRUE,";
")</f>
        <v xml:space="preserve">09.03 Reporting - Warehousing </v>
      </c>
    </row>
    <row r="997" spans="1:14" x14ac:dyDescent="0.25">
      <c r="A997" s="20" t="s">
        <v>2296</v>
      </c>
      <c r="B997" s="11" t="s">
        <v>640</v>
      </c>
      <c r="C997" s="6" t="s">
        <v>49</v>
      </c>
      <c r="D997" s="6" t="s">
        <v>2297</v>
      </c>
      <c r="E997" s="17"/>
      <c r="F997" s="156"/>
      <c r="G997" s="15" t="str">
        <f t="array" ref="G997">MultiMatchPrefix(Table_Data[[#This Row],[D ID]],Table_Mappings[Data ID],0,"",TRUE,";
")</f>
        <v/>
      </c>
    </row>
    <row r="998" spans="1:14" x14ac:dyDescent="0.25">
      <c r="A998" s="20" t="s">
        <v>2298</v>
      </c>
      <c r="B998" s="11" t="s">
        <v>643</v>
      </c>
      <c r="C998" s="6" t="s">
        <v>49</v>
      </c>
      <c r="D998" s="6" t="s">
        <v>2297</v>
      </c>
      <c r="E998" s="6" t="s">
        <v>644</v>
      </c>
      <c r="F998" s="6" t="s">
        <v>81</v>
      </c>
      <c r="G998" s="15" t="str" cm="1">
        <f t="array" ref="G998">MultiMatchPrefix(Table_Data[[#This Row],[D ID]],Table_Mappings[Data ID],0,"",TRUE,";
")</f>
        <v/>
      </c>
    </row>
    <row r="999" spans="1:14" x14ac:dyDescent="0.25">
      <c r="A999" s="20" t="s">
        <v>2299</v>
      </c>
      <c r="B999" s="11" t="s">
        <v>643</v>
      </c>
      <c r="C999" s="6" t="s">
        <v>49</v>
      </c>
      <c r="D999" s="6" t="s">
        <v>2297</v>
      </c>
      <c r="E999" s="6" t="s">
        <v>679</v>
      </c>
      <c r="F999" s="6" t="s">
        <v>81</v>
      </c>
      <c r="G999" s="15" t="str" cm="1">
        <f t="array" ref="G999">MultiMatchPrefix(Table_Data[[#This Row],[D ID]],Table_Mappings[Data ID],0,"",TRUE,";
")</f>
        <v/>
      </c>
    </row>
    <row r="1000" spans="1:14" x14ac:dyDescent="0.25">
      <c r="A1000" s="20" t="s">
        <v>2300</v>
      </c>
      <c r="B1000" s="11" t="s">
        <v>643</v>
      </c>
      <c r="C1000" s="6" t="s">
        <v>49</v>
      </c>
      <c r="D1000" s="6" t="s">
        <v>2297</v>
      </c>
      <c r="E1000" s="6" t="s">
        <v>710</v>
      </c>
      <c r="F1000" s="6" t="s">
        <v>81</v>
      </c>
      <c r="G1000" s="15" t="str" cm="1">
        <f t="array" ref="G1000">MultiMatchPrefix(Table_Data[[#This Row],[D ID]],Table_Mappings[Data ID],0,"",TRUE,";
")</f>
        <v/>
      </c>
    </row>
    <row r="1001" spans="1:14" x14ac:dyDescent="0.25">
      <c r="A1001" s="20" t="s">
        <v>2301</v>
      </c>
      <c r="B1001" s="11" t="s">
        <v>643</v>
      </c>
      <c r="C1001" s="6" t="s">
        <v>49</v>
      </c>
      <c r="D1001" s="6" t="s">
        <v>2297</v>
      </c>
      <c r="E1001" s="6" t="s">
        <v>2221</v>
      </c>
      <c r="F1001" s="6" t="s">
        <v>81</v>
      </c>
      <c r="G1001" s="15" t="str" cm="1">
        <f t="array" ref="G1001">MultiMatchPrefix(Table_Data[[#This Row],[D ID]],Table_Mappings[Data ID],0,"",TRUE,";
")</f>
        <v/>
      </c>
    </row>
    <row r="1002" spans="1:14" x14ac:dyDescent="0.25">
      <c r="A1002" s="20" t="s">
        <v>2302</v>
      </c>
      <c r="B1002" s="11" t="s">
        <v>643</v>
      </c>
      <c r="C1002" s="6" t="s">
        <v>49</v>
      </c>
      <c r="D1002" s="6" t="s">
        <v>2297</v>
      </c>
      <c r="E1002" s="6" t="s">
        <v>650</v>
      </c>
      <c r="F1002" s="6" t="s">
        <v>81</v>
      </c>
      <c r="G1002" s="15" t="str" cm="1">
        <f t="array" ref="G1002">MultiMatchPrefix(Table_Data[[#This Row],[D ID]],Table_Mappings[Data ID],0,"",TRUE,";
")</f>
        <v/>
      </c>
    </row>
    <row r="1003" spans="1:14" x14ac:dyDescent="0.25">
      <c r="A1003" s="20" t="s">
        <v>574</v>
      </c>
      <c r="B1003" s="11" t="s">
        <v>79</v>
      </c>
      <c r="C1003" s="6" t="s">
        <v>2303</v>
      </c>
      <c r="D1003" s="17"/>
      <c r="E1003" s="17"/>
      <c r="F1003" s="6" t="s">
        <v>2304</v>
      </c>
      <c r="G1003" s="15" t="str" cm="1">
        <f t="array" ref="G1003">MultiMatchPrefix(Table_Data[[#This Row],[D ID]],Table_Mappings[Data ID],0,"",TRUE,";
")</f>
        <v xml:space="preserve">09.03 Reporting - Warehousing </v>
      </c>
    </row>
    <row r="1004" spans="1:14" ht="25" x14ac:dyDescent="0.25">
      <c r="A1004" s="20" t="s">
        <v>2305</v>
      </c>
      <c r="B1004" s="11" t="s">
        <v>640</v>
      </c>
      <c r="C1004" s="6" t="s">
        <v>2303</v>
      </c>
      <c r="D1004" s="6" t="s">
        <v>2306</v>
      </c>
      <c r="E1004" s="17"/>
      <c r="F1004" s="6"/>
      <c r="G1004" s="15" t="str">
        <f t="array" ref="G1004">MultiMatchPrefix(Table_Data[[#This Row],[D ID]],Table_Mappings[Data ID],0,"",TRUE,";
")</f>
        <v/>
      </c>
    </row>
    <row r="1005" spans="1:14" ht="25" x14ac:dyDescent="0.25">
      <c r="A1005" s="20" t="s">
        <v>2307</v>
      </c>
      <c r="B1005" s="11" t="s">
        <v>643</v>
      </c>
      <c r="C1005" s="6" t="s">
        <v>2303</v>
      </c>
      <c r="D1005" s="6" t="s">
        <v>2306</v>
      </c>
      <c r="E1005" s="6" t="s">
        <v>644</v>
      </c>
      <c r="F1005" s="6" t="s">
        <v>81</v>
      </c>
      <c r="G1005" s="15" t="str" cm="1">
        <f t="array" ref="G1005">MultiMatchPrefix(Table_Data[[#This Row],[D ID]],Table_Mappings[Data ID],0,"",TRUE,";
")</f>
        <v/>
      </c>
    </row>
    <row r="1006" spans="1:14" ht="25" x14ac:dyDescent="0.25">
      <c r="A1006" s="20" t="s">
        <v>2308</v>
      </c>
      <c r="B1006" s="11" t="s">
        <v>643</v>
      </c>
      <c r="C1006" s="6" t="s">
        <v>2303</v>
      </c>
      <c r="D1006" s="6" t="s">
        <v>2306</v>
      </c>
      <c r="E1006" s="6" t="s">
        <v>679</v>
      </c>
      <c r="F1006" s="6" t="s">
        <v>81</v>
      </c>
      <c r="G1006" s="15" t="str" cm="1">
        <f t="array" ref="G1006">MultiMatchPrefix(Table_Data[[#This Row],[D ID]],Table_Mappings[Data ID],0,"",TRUE,";
")</f>
        <v/>
      </c>
    </row>
    <row r="1007" spans="1:14" ht="25" x14ac:dyDescent="0.25">
      <c r="A1007" s="20" t="s">
        <v>2309</v>
      </c>
      <c r="B1007" s="11" t="s">
        <v>643</v>
      </c>
      <c r="C1007" s="6" t="s">
        <v>2303</v>
      </c>
      <c r="D1007" s="6" t="s">
        <v>2306</v>
      </c>
      <c r="E1007" s="6" t="s">
        <v>710</v>
      </c>
      <c r="F1007" s="6" t="s">
        <v>81</v>
      </c>
      <c r="G1007" s="15" t="str" cm="1">
        <f t="array" ref="G1007">MultiMatchPrefix(Table_Data[[#This Row],[D ID]],Table_Mappings[Data ID],0,"",TRUE,";
")</f>
        <v/>
      </c>
    </row>
    <row r="1008" spans="1:14" ht="25" x14ac:dyDescent="0.25">
      <c r="A1008" s="20" t="s">
        <v>2310</v>
      </c>
      <c r="B1008" s="11" t="s">
        <v>643</v>
      </c>
      <c r="C1008" s="6" t="s">
        <v>2303</v>
      </c>
      <c r="D1008" s="6" t="s">
        <v>2306</v>
      </c>
      <c r="E1008" s="6" t="s">
        <v>2221</v>
      </c>
      <c r="F1008" s="6" t="s">
        <v>81</v>
      </c>
      <c r="G1008" s="15" t="str" cm="1">
        <f t="array" ref="G1008">MultiMatchPrefix(Table_Data[[#This Row],[D ID]],Table_Mappings[Data ID],0,"",TRUE,";
")</f>
        <v/>
      </c>
    </row>
    <row r="1009" spans="1:7" ht="25" x14ac:dyDescent="0.25">
      <c r="A1009" s="20" t="s">
        <v>2311</v>
      </c>
      <c r="B1009" s="11" t="s">
        <v>643</v>
      </c>
      <c r="C1009" s="6" t="s">
        <v>2303</v>
      </c>
      <c r="D1009" s="6" t="s">
        <v>2306</v>
      </c>
      <c r="E1009" s="6" t="s">
        <v>650</v>
      </c>
      <c r="F1009" s="6" t="s">
        <v>81</v>
      </c>
      <c r="G1009" s="15" t="str" cm="1">
        <f t="array" ref="G1009">MultiMatchPrefix(Table_Data[[#This Row],[D ID]],Table_Mappings[Data ID],0,"",TRUE,";
")</f>
        <v/>
      </c>
    </row>
    <row r="1010" spans="1:7" ht="25" x14ac:dyDescent="0.25">
      <c r="A1010" s="20" t="s">
        <v>2312</v>
      </c>
      <c r="B1010" s="11" t="s">
        <v>643</v>
      </c>
      <c r="C1010" s="6" t="s">
        <v>2303</v>
      </c>
      <c r="D1010" s="6" t="s">
        <v>2306</v>
      </c>
      <c r="E1010" s="6" t="s">
        <v>1799</v>
      </c>
      <c r="F1010" s="6" t="s">
        <v>2313</v>
      </c>
      <c r="G1010" s="15" t="str" cm="1">
        <f t="array" ref="G1010">MultiMatchPrefix(Table_Data[[#This Row],[D ID]],Table_Mappings[Data ID],0,"",TRUE,";
")</f>
        <v/>
      </c>
    </row>
    <row r="1011" spans="1:7" ht="25" x14ac:dyDescent="0.25">
      <c r="A1011" s="20" t="s">
        <v>2314</v>
      </c>
      <c r="B1011" s="11" t="s">
        <v>643</v>
      </c>
      <c r="C1011" s="6" t="s">
        <v>2303</v>
      </c>
      <c r="D1011" s="6" t="s">
        <v>2306</v>
      </c>
      <c r="E1011" s="6" t="s">
        <v>1756</v>
      </c>
      <c r="F1011" s="6" t="s">
        <v>2315</v>
      </c>
      <c r="G1011" s="15" t="str" cm="1">
        <f t="array" ref="G1011">MultiMatchPrefix(Table_Data[[#This Row],[D ID]],Table_Mappings[Data ID],0,"",TRUE,";
")</f>
        <v/>
      </c>
    </row>
    <row r="1012" spans="1:7" ht="25" x14ac:dyDescent="0.25">
      <c r="A1012" s="20" t="s">
        <v>2316</v>
      </c>
      <c r="B1012" s="11" t="s">
        <v>643</v>
      </c>
      <c r="C1012" s="6" t="s">
        <v>2303</v>
      </c>
      <c r="D1012" s="6" t="s">
        <v>2306</v>
      </c>
      <c r="E1012" s="6" t="s">
        <v>1759</v>
      </c>
      <c r="F1012" s="6" t="s">
        <v>2315</v>
      </c>
      <c r="G1012" s="15" t="str" cm="1">
        <f t="array" ref="G1012">MultiMatchPrefix(Table_Data[[#This Row],[D ID]],Table_Mappings[Data ID],0,"",TRUE,";
")</f>
        <v/>
      </c>
    </row>
    <row r="1013" spans="1:7" x14ac:dyDescent="0.25">
      <c r="A1013" s="20" t="s">
        <v>576</v>
      </c>
      <c r="B1013" s="11" t="s">
        <v>79</v>
      </c>
      <c r="C1013" s="6" t="s">
        <v>2317</v>
      </c>
      <c r="D1013" s="17"/>
      <c r="E1013" s="17"/>
      <c r="F1013" s="6" t="s">
        <v>2318</v>
      </c>
      <c r="G1013" s="15" t="str" cm="1">
        <f t="array" ref="G1013">MultiMatchPrefix(Table_Data[[#This Row],[D ID]],Table_Mappings[Data ID],0,"",TRUE,";
")</f>
        <v xml:space="preserve">09.03 Reporting - Warehousing </v>
      </c>
    </row>
    <row r="1014" spans="1:7" x14ac:dyDescent="0.25">
      <c r="A1014" s="20" t="s">
        <v>2319</v>
      </c>
      <c r="B1014" s="11" t="s">
        <v>640</v>
      </c>
      <c r="C1014" s="6" t="s">
        <v>2317</v>
      </c>
      <c r="D1014" s="6" t="s">
        <v>2320</v>
      </c>
      <c r="E1014" s="17"/>
      <c r="F1014" s="6"/>
      <c r="G1014" s="15" t="str">
        <f t="array" ref="G1014">MultiMatchPrefix(Table_Data[[#This Row],[D ID]],Table_Mappings[Data ID],0,"",TRUE,";
")</f>
        <v/>
      </c>
    </row>
    <row r="1015" spans="1:7" x14ac:dyDescent="0.25">
      <c r="A1015" s="20" t="s">
        <v>2321</v>
      </c>
      <c r="B1015" s="11" t="s">
        <v>643</v>
      </c>
      <c r="C1015" s="6" t="s">
        <v>2317</v>
      </c>
      <c r="D1015" s="6" t="s">
        <v>2320</v>
      </c>
      <c r="E1015" s="6" t="s">
        <v>644</v>
      </c>
      <c r="F1015" s="6" t="s">
        <v>81</v>
      </c>
      <c r="G1015" s="15" t="str" cm="1">
        <f t="array" ref="G1015">MultiMatchPrefix(Table_Data[[#This Row],[D ID]],Table_Mappings[Data ID],0,"",TRUE,";
")</f>
        <v/>
      </c>
    </row>
    <row r="1016" spans="1:7" x14ac:dyDescent="0.25">
      <c r="A1016" s="20" t="s">
        <v>2322</v>
      </c>
      <c r="B1016" s="11" t="s">
        <v>643</v>
      </c>
      <c r="C1016" s="6" t="s">
        <v>2317</v>
      </c>
      <c r="D1016" s="6" t="s">
        <v>2320</v>
      </c>
      <c r="E1016" s="6" t="s">
        <v>679</v>
      </c>
      <c r="F1016" s="6" t="s">
        <v>81</v>
      </c>
      <c r="G1016" s="15" t="str" cm="1">
        <f t="array" ref="G1016">MultiMatchPrefix(Table_Data[[#This Row],[D ID]],Table_Mappings[Data ID],0,"",TRUE,";
")</f>
        <v/>
      </c>
    </row>
    <row r="1017" spans="1:7" x14ac:dyDescent="0.25">
      <c r="A1017" s="20" t="s">
        <v>2323</v>
      </c>
      <c r="B1017" s="11" t="s">
        <v>643</v>
      </c>
      <c r="C1017" s="6" t="s">
        <v>2317</v>
      </c>
      <c r="D1017" s="6" t="s">
        <v>2320</v>
      </c>
      <c r="E1017" s="6" t="s">
        <v>710</v>
      </c>
      <c r="F1017" s="6" t="s">
        <v>81</v>
      </c>
      <c r="G1017" s="15" t="str" cm="1">
        <f t="array" ref="G1017">MultiMatchPrefix(Table_Data[[#This Row],[D ID]],Table_Mappings[Data ID],0,"",TRUE,";
")</f>
        <v/>
      </c>
    </row>
    <row r="1018" spans="1:7" x14ac:dyDescent="0.25">
      <c r="A1018" s="20" t="s">
        <v>2324</v>
      </c>
      <c r="B1018" s="11" t="s">
        <v>643</v>
      </c>
      <c r="C1018" s="6" t="s">
        <v>2317</v>
      </c>
      <c r="D1018" s="6" t="s">
        <v>2320</v>
      </c>
      <c r="E1018" s="6" t="s">
        <v>2221</v>
      </c>
      <c r="F1018" s="6" t="s">
        <v>81</v>
      </c>
      <c r="G1018" s="15" t="str" cm="1">
        <f t="array" ref="G1018">MultiMatchPrefix(Table_Data[[#This Row],[D ID]],Table_Mappings[Data ID],0,"",TRUE,";
")</f>
        <v/>
      </c>
    </row>
    <row r="1019" spans="1:7" x14ac:dyDescent="0.25">
      <c r="A1019" s="20" t="s">
        <v>2325</v>
      </c>
      <c r="B1019" s="11" t="s">
        <v>643</v>
      </c>
      <c r="C1019" s="6" t="s">
        <v>2317</v>
      </c>
      <c r="D1019" s="6" t="s">
        <v>2320</v>
      </c>
      <c r="E1019" s="6" t="s">
        <v>650</v>
      </c>
      <c r="F1019" s="6" t="s">
        <v>81</v>
      </c>
      <c r="G1019" s="15" t="str" cm="1">
        <f t="array" ref="G1019">MultiMatchPrefix(Table_Data[[#This Row],[D ID]],Table_Mappings[Data ID],0,"",TRUE,";
")</f>
        <v/>
      </c>
    </row>
    <row r="1020" spans="1:7" x14ac:dyDescent="0.25">
      <c r="A1020" s="20" t="s">
        <v>2326</v>
      </c>
      <c r="B1020" s="11" t="s">
        <v>643</v>
      </c>
      <c r="C1020" s="6" t="s">
        <v>2317</v>
      </c>
      <c r="D1020" s="6" t="s">
        <v>2320</v>
      </c>
      <c r="E1020" s="6" t="s">
        <v>2327</v>
      </c>
      <c r="F1020" s="6" t="s">
        <v>81</v>
      </c>
      <c r="G1020" s="15" t="str" cm="1">
        <f t="array" ref="G1020">MultiMatchPrefix(Table_Data[[#This Row],[D ID]],Table_Mappings[Data ID],0,"",TRUE,";
")</f>
        <v/>
      </c>
    </row>
    <row r="1021" spans="1:7" x14ac:dyDescent="0.25">
      <c r="A1021" s="20" t="s">
        <v>578</v>
      </c>
      <c r="B1021" s="11" t="s">
        <v>79</v>
      </c>
      <c r="C1021" s="6" t="s">
        <v>2328</v>
      </c>
      <c r="D1021" s="17"/>
      <c r="E1021" s="17"/>
      <c r="F1021" s="6" t="s">
        <v>2329</v>
      </c>
      <c r="G1021" s="15" t="str" cm="1">
        <f t="array" ref="G1021">MultiMatchPrefix(Table_Data[[#This Row],[D ID]],Table_Mappings[Data ID],0,"",TRUE,";
")</f>
        <v xml:space="preserve">09.03 Reporting - Warehousing </v>
      </c>
    </row>
    <row r="1022" spans="1:7" ht="25" x14ac:dyDescent="0.25">
      <c r="A1022" s="20" t="s">
        <v>2330</v>
      </c>
      <c r="B1022" s="11" t="s">
        <v>640</v>
      </c>
      <c r="C1022" s="6" t="s">
        <v>2328</v>
      </c>
      <c r="D1022" s="6" t="s">
        <v>2331</v>
      </c>
      <c r="E1022" s="17"/>
      <c r="F1022" s="6"/>
      <c r="G1022" s="15" t="str">
        <f t="array" ref="G1022">MultiMatchPrefix(Table_Data[[#This Row],[D ID]],Table_Mappings[Data ID],0,"",TRUE,";
")</f>
        <v/>
      </c>
    </row>
    <row r="1023" spans="1:7" ht="25" x14ac:dyDescent="0.25">
      <c r="A1023" s="20" t="s">
        <v>2332</v>
      </c>
      <c r="B1023" s="11" t="s">
        <v>643</v>
      </c>
      <c r="C1023" s="6" t="s">
        <v>2328</v>
      </c>
      <c r="D1023" s="6" t="s">
        <v>2331</v>
      </c>
      <c r="E1023" s="6" t="s">
        <v>710</v>
      </c>
      <c r="F1023" s="6" t="s">
        <v>81</v>
      </c>
      <c r="G1023" s="15" t="str" cm="1">
        <f t="array" ref="G1023">MultiMatchPrefix(Table_Data[[#This Row],[D ID]],Table_Mappings[Data ID],0,"",TRUE,";
")</f>
        <v/>
      </c>
    </row>
    <row r="1024" spans="1:7" ht="25" x14ac:dyDescent="0.25">
      <c r="A1024" s="20" t="s">
        <v>2333</v>
      </c>
      <c r="B1024" s="11" t="s">
        <v>643</v>
      </c>
      <c r="C1024" s="6" t="s">
        <v>2328</v>
      </c>
      <c r="D1024" s="6" t="s">
        <v>2331</v>
      </c>
      <c r="E1024" s="6" t="s">
        <v>2221</v>
      </c>
      <c r="F1024" s="6" t="s">
        <v>81</v>
      </c>
      <c r="G1024" s="15" t="str" cm="1">
        <f t="array" ref="G1024">MultiMatchPrefix(Table_Data[[#This Row],[D ID]],Table_Mappings[Data ID],0,"",TRUE,";
")</f>
        <v/>
      </c>
    </row>
    <row r="1025" spans="1:7" x14ac:dyDescent="0.25">
      <c r="A1025" s="20" t="s">
        <v>2334</v>
      </c>
      <c r="B1025" s="11" t="s">
        <v>640</v>
      </c>
      <c r="C1025" s="6" t="s">
        <v>2328</v>
      </c>
      <c r="D1025" s="6" t="s">
        <v>2335</v>
      </c>
      <c r="E1025" s="17"/>
      <c r="F1025" s="6"/>
      <c r="G1025" s="15" t="str">
        <f t="array" ref="G1025">MultiMatchPrefix(Table_Data[[#This Row],[D ID]],Table_Mappings[Data ID],0,"",TRUE,";
")</f>
        <v/>
      </c>
    </row>
    <row r="1026" spans="1:7" x14ac:dyDescent="0.25">
      <c r="A1026" s="20" t="s">
        <v>2336</v>
      </c>
      <c r="B1026" s="11" t="s">
        <v>643</v>
      </c>
      <c r="C1026" s="6" t="s">
        <v>2328</v>
      </c>
      <c r="D1026" s="6" t="s">
        <v>2335</v>
      </c>
      <c r="E1026" s="6" t="s">
        <v>644</v>
      </c>
      <c r="F1026" s="6" t="s">
        <v>81</v>
      </c>
      <c r="G1026" s="15" t="str" cm="1">
        <f t="array" ref="G1026">MultiMatchPrefix(Table_Data[[#This Row],[D ID]],Table_Mappings[Data ID],0,"",TRUE,";
")</f>
        <v/>
      </c>
    </row>
    <row r="1027" spans="1:7" x14ac:dyDescent="0.25">
      <c r="A1027" s="20" t="s">
        <v>2337</v>
      </c>
      <c r="B1027" s="11" t="s">
        <v>643</v>
      </c>
      <c r="C1027" s="6" t="s">
        <v>2328</v>
      </c>
      <c r="D1027" s="6" t="s">
        <v>2335</v>
      </c>
      <c r="E1027" s="6" t="s">
        <v>1756</v>
      </c>
      <c r="F1027" s="6" t="s">
        <v>81</v>
      </c>
      <c r="G1027" s="15" t="str" cm="1">
        <f t="array" ref="G1027">MultiMatchPrefix(Table_Data[[#This Row],[D ID]],Table_Mappings[Data ID],0,"",TRUE,";
")</f>
        <v/>
      </c>
    </row>
    <row r="1028" spans="1:7" x14ac:dyDescent="0.25">
      <c r="A1028" s="20" t="s">
        <v>2338</v>
      </c>
      <c r="B1028" s="11" t="s">
        <v>643</v>
      </c>
      <c r="C1028" s="6" t="s">
        <v>2328</v>
      </c>
      <c r="D1028" s="6" t="s">
        <v>2335</v>
      </c>
      <c r="E1028" s="6" t="s">
        <v>650</v>
      </c>
      <c r="F1028" s="6" t="s">
        <v>81</v>
      </c>
      <c r="G1028" s="15" t="str" cm="1">
        <f t="array" ref="G1028">MultiMatchPrefix(Table_Data[[#This Row],[D ID]],Table_Mappings[Data ID],0,"",TRUE,";
")</f>
        <v/>
      </c>
    </row>
    <row r="1029" spans="1:7" x14ac:dyDescent="0.25">
      <c r="A1029" s="20" t="s">
        <v>2339</v>
      </c>
      <c r="B1029" s="11" t="s">
        <v>643</v>
      </c>
      <c r="C1029" s="6" t="s">
        <v>2328</v>
      </c>
      <c r="D1029" s="6" t="s">
        <v>2335</v>
      </c>
      <c r="E1029" s="6" t="s">
        <v>868</v>
      </c>
      <c r="F1029" s="6" t="s">
        <v>81</v>
      </c>
      <c r="G1029" s="15" t="str" cm="1">
        <f t="array" ref="G1029">MultiMatchPrefix(Table_Data[[#This Row],[D ID]],Table_Mappings[Data ID],0,"",TRUE,";
")</f>
        <v/>
      </c>
    </row>
    <row r="1030" spans="1:7" x14ac:dyDescent="0.25">
      <c r="A1030" s="20" t="s">
        <v>580</v>
      </c>
      <c r="B1030" s="11" t="s">
        <v>79</v>
      </c>
      <c r="C1030" s="6" t="s">
        <v>2340</v>
      </c>
      <c r="D1030" s="17"/>
      <c r="E1030" s="17"/>
      <c r="F1030" s="6" t="s">
        <v>2341</v>
      </c>
      <c r="G1030" s="15" t="str" cm="1">
        <f t="array" ref="G1030">MultiMatchPrefix(Table_Data[[#This Row],[D ID]],Table_Mappings[Data ID],0,"",TRUE,";
")</f>
        <v xml:space="preserve">09.04 Reporting - Assets </v>
      </c>
    </row>
    <row r="1031" spans="1:7" ht="25" x14ac:dyDescent="0.25">
      <c r="A1031" s="20" t="s">
        <v>2342</v>
      </c>
      <c r="B1031" s="11" t="s">
        <v>640</v>
      </c>
      <c r="C1031" s="6" t="s">
        <v>2340</v>
      </c>
      <c r="D1031" s="6" t="s">
        <v>2343</v>
      </c>
      <c r="E1031" s="17"/>
      <c r="F1031" s="6"/>
      <c r="G1031" s="15" t="str">
        <f t="array" ref="G1031">MultiMatchPrefix(Table_Data[[#This Row],[D ID]],Table_Mappings[Data ID],0,"",TRUE,";
")</f>
        <v/>
      </c>
    </row>
    <row r="1032" spans="1:7" ht="25" x14ac:dyDescent="0.25">
      <c r="A1032" s="20" t="s">
        <v>2344</v>
      </c>
      <c r="B1032" s="11" t="s">
        <v>643</v>
      </c>
      <c r="C1032" s="6" t="s">
        <v>2340</v>
      </c>
      <c r="D1032" s="6" t="s">
        <v>2343</v>
      </c>
      <c r="E1032" s="6" t="s">
        <v>2221</v>
      </c>
      <c r="F1032" s="6" t="s">
        <v>81</v>
      </c>
      <c r="G1032" s="15" t="str" cm="1">
        <f t="array" ref="G1032">MultiMatchPrefix(Table_Data[[#This Row],[D ID]],Table_Mappings[Data ID],0,"",TRUE,";
")</f>
        <v/>
      </c>
    </row>
    <row r="1033" spans="1:7" x14ac:dyDescent="0.25">
      <c r="A1033" s="20" t="s">
        <v>2345</v>
      </c>
      <c r="B1033" s="11" t="s">
        <v>640</v>
      </c>
      <c r="C1033" s="6" t="s">
        <v>2340</v>
      </c>
      <c r="D1033" s="6" t="s">
        <v>2346</v>
      </c>
      <c r="E1033" s="17"/>
      <c r="F1033" s="6"/>
      <c r="G1033" s="15" t="str">
        <f t="array" ref="G1033">MultiMatchPrefix(Table_Data[[#This Row],[D ID]],Table_Mappings[Data ID],0,"",TRUE,";
")</f>
        <v/>
      </c>
    </row>
    <row r="1034" spans="1:7" x14ac:dyDescent="0.25">
      <c r="A1034" s="20" t="s">
        <v>2347</v>
      </c>
      <c r="B1034" s="11" t="s">
        <v>643</v>
      </c>
      <c r="C1034" s="6" t="s">
        <v>2340</v>
      </c>
      <c r="D1034" s="6" t="s">
        <v>2346</v>
      </c>
      <c r="E1034" s="6" t="s">
        <v>1934</v>
      </c>
      <c r="F1034" s="6" t="s">
        <v>81</v>
      </c>
      <c r="G1034" s="15" t="str" cm="1">
        <f t="array" ref="G1034">MultiMatchPrefix(Table_Data[[#This Row],[D ID]],Table_Mappings[Data ID],0,"",TRUE,";
")</f>
        <v/>
      </c>
    </row>
    <row r="1035" spans="1:7" x14ac:dyDescent="0.25">
      <c r="A1035" s="20" t="s">
        <v>2348</v>
      </c>
      <c r="B1035" s="11" t="s">
        <v>643</v>
      </c>
      <c r="C1035" s="6" t="s">
        <v>2340</v>
      </c>
      <c r="D1035" s="6" t="s">
        <v>2346</v>
      </c>
      <c r="E1035" s="6" t="s">
        <v>1936</v>
      </c>
      <c r="F1035" s="6" t="s">
        <v>81</v>
      </c>
      <c r="G1035" s="15" t="str" cm="1">
        <f t="array" ref="G1035">MultiMatchPrefix(Table_Data[[#This Row],[D ID]],Table_Mappings[Data ID],0,"",TRUE,";
")</f>
        <v/>
      </c>
    </row>
    <row r="1036" spans="1:7" x14ac:dyDescent="0.25">
      <c r="A1036" s="20" t="s">
        <v>2349</v>
      </c>
      <c r="B1036" s="11" t="s">
        <v>643</v>
      </c>
      <c r="C1036" s="6" t="s">
        <v>2340</v>
      </c>
      <c r="D1036" s="6" t="s">
        <v>2346</v>
      </c>
      <c r="E1036" s="6" t="s">
        <v>2350</v>
      </c>
      <c r="F1036" s="6" t="s">
        <v>81</v>
      </c>
      <c r="G1036" s="15" t="str" cm="1">
        <f t="array" ref="G1036">MultiMatchPrefix(Table_Data[[#This Row],[D ID]],Table_Mappings[Data ID],0,"",TRUE,";
")</f>
        <v/>
      </c>
    </row>
    <row r="1037" spans="1:7" x14ac:dyDescent="0.25">
      <c r="A1037" s="20" t="s">
        <v>582</v>
      </c>
      <c r="B1037" s="11" t="s">
        <v>79</v>
      </c>
      <c r="C1037" s="6" t="s">
        <v>2351</v>
      </c>
      <c r="D1037" s="17"/>
      <c r="E1037" s="17"/>
      <c r="F1037" s="6" t="s">
        <v>2352</v>
      </c>
      <c r="G1037" s="15" t="str" cm="1">
        <f t="array" ref="G1037">MultiMatchPrefix(Table_Data[[#This Row],[D ID]],Table_Mappings[Data ID],0,"",TRUE,";
")</f>
        <v xml:space="preserve">09.04 Reporting - Assets </v>
      </c>
    </row>
    <row r="1038" spans="1:7" ht="25" x14ac:dyDescent="0.25">
      <c r="A1038" s="20" t="s">
        <v>2353</v>
      </c>
      <c r="B1038" s="11" t="s">
        <v>640</v>
      </c>
      <c r="C1038" s="6" t="s">
        <v>2351</v>
      </c>
      <c r="D1038" s="6" t="s">
        <v>2343</v>
      </c>
      <c r="E1038" s="17"/>
      <c r="F1038" s="6"/>
      <c r="G1038" s="15" t="str">
        <f t="array" ref="G1038">MultiMatchPrefix(Table_Data[[#This Row],[D ID]],Table_Mappings[Data ID],0,"",TRUE,";
")</f>
        <v/>
      </c>
    </row>
    <row r="1039" spans="1:7" ht="25" x14ac:dyDescent="0.25">
      <c r="A1039" s="20" t="s">
        <v>2354</v>
      </c>
      <c r="B1039" s="11" t="s">
        <v>643</v>
      </c>
      <c r="C1039" s="6" t="s">
        <v>2351</v>
      </c>
      <c r="D1039" s="6" t="s">
        <v>2343</v>
      </c>
      <c r="E1039" s="6" t="s">
        <v>2221</v>
      </c>
      <c r="F1039" s="6" t="s">
        <v>81</v>
      </c>
      <c r="G1039" s="15" t="str" cm="1">
        <f t="array" ref="G1039">MultiMatchPrefix(Table_Data[[#This Row],[D ID]],Table_Mappings[Data ID],0,"",TRUE,";
")</f>
        <v/>
      </c>
    </row>
    <row r="1040" spans="1:7" x14ac:dyDescent="0.25">
      <c r="A1040" s="20" t="s">
        <v>2355</v>
      </c>
      <c r="B1040" s="11" t="s">
        <v>640</v>
      </c>
      <c r="C1040" s="6" t="s">
        <v>2351</v>
      </c>
      <c r="D1040" s="6" t="s">
        <v>2346</v>
      </c>
      <c r="E1040" s="17"/>
      <c r="F1040" s="6"/>
      <c r="G1040" s="15" t="str">
        <f t="array" ref="G1040">MultiMatchPrefix(Table_Data[[#This Row],[D ID]],Table_Mappings[Data ID],0,"",TRUE,";
")</f>
        <v/>
      </c>
    </row>
    <row r="1041" spans="1:14" x14ac:dyDescent="0.25">
      <c r="A1041" s="20" t="s">
        <v>2356</v>
      </c>
      <c r="B1041" s="11" t="s">
        <v>643</v>
      </c>
      <c r="C1041" s="6" t="s">
        <v>2351</v>
      </c>
      <c r="D1041" s="6" t="s">
        <v>2346</v>
      </c>
      <c r="E1041" s="6" t="s">
        <v>1934</v>
      </c>
      <c r="F1041" s="6" t="s">
        <v>81</v>
      </c>
      <c r="G1041" s="15" t="str" cm="1">
        <f t="array" ref="G1041">MultiMatchPrefix(Table_Data[[#This Row],[D ID]],Table_Mappings[Data ID],0,"",TRUE,";
")</f>
        <v/>
      </c>
    </row>
    <row r="1042" spans="1:14" x14ac:dyDescent="0.25">
      <c r="A1042" s="20" t="s">
        <v>2357</v>
      </c>
      <c r="B1042" s="11" t="s">
        <v>643</v>
      </c>
      <c r="C1042" s="6" t="s">
        <v>2351</v>
      </c>
      <c r="D1042" s="6" t="s">
        <v>2346</v>
      </c>
      <c r="E1042" s="6" t="s">
        <v>1936</v>
      </c>
      <c r="F1042" s="6" t="s">
        <v>81</v>
      </c>
      <c r="G1042" s="15" t="str" cm="1">
        <f t="array" ref="G1042">MultiMatchPrefix(Table_Data[[#This Row],[D ID]],Table_Mappings[Data ID],0,"",TRUE,";
")</f>
        <v/>
      </c>
    </row>
    <row r="1043" spans="1:14" x14ac:dyDescent="0.25">
      <c r="A1043" s="20" t="s">
        <v>2358</v>
      </c>
      <c r="B1043" s="11" t="s">
        <v>643</v>
      </c>
      <c r="C1043" s="6" t="s">
        <v>2351</v>
      </c>
      <c r="D1043" s="6" t="s">
        <v>2346</v>
      </c>
      <c r="E1043" s="6" t="s">
        <v>2359</v>
      </c>
      <c r="F1043" s="6" t="s">
        <v>81</v>
      </c>
      <c r="G1043" s="15" t="str" cm="1">
        <f t="array" ref="G1043">MultiMatchPrefix(Table_Data[[#This Row],[D ID]],Table_Mappings[Data ID],0,"",TRUE,";
")</f>
        <v/>
      </c>
    </row>
    <row r="1044" spans="1:14" x14ac:dyDescent="0.25">
      <c r="A1044" s="20" t="s">
        <v>2360</v>
      </c>
      <c r="B1044" s="11" t="s">
        <v>643</v>
      </c>
      <c r="C1044" s="6" t="s">
        <v>2351</v>
      </c>
      <c r="D1044" s="6" t="s">
        <v>2346</v>
      </c>
      <c r="E1044" s="6" t="s">
        <v>2361</v>
      </c>
      <c r="F1044" s="6" t="s">
        <v>81</v>
      </c>
      <c r="G1044" s="15" t="str" cm="1">
        <f t="array" ref="G1044">MultiMatchPrefix(Table_Data[[#This Row],[D ID]],Table_Mappings[Data ID],0,"",TRUE,";
")</f>
        <v/>
      </c>
    </row>
    <row r="1045" spans="1:14" x14ac:dyDescent="0.25">
      <c r="A1045" s="20" t="s">
        <v>2362</v>
      </c>
      <c r="B1045" s="11" t="s">
        <v>643</v>
      </c>
      <c r="C1045" s="6" t="s">
        <v>2351</v>
      </c>
      <c r="D1045" s="6" t="s">
        <v>2346</v>
      </c>
      <c r="E1045" s="6" t="s">
        <v>2363</v>
      </c>
      <c r="F1045" s="6" t="s">
        <v>81</v>
      </c>
      <c r="G1045" s="15" t="str" cm="1">
        <f t="array" ref="G1045">MultiMatchPrefix(Table_Data[[#This Row],[D ID]],Table_Mappings[Data ID],0,"",TRUE,";
")</f>
        <v/>
      </c>
    </row>
    <row r="1046" spans="1:14" x14ac:dyDescent="0.25">
      <c r="A1046" s="20" t="s">
        <v>2364</v>
      </c>
      <c r="B1046" s="11" t="s">
        <v>643</v>
      </c>
      <c r="C1046" s="6" t="s">
        <v>2351</v>
      </c>
      <c r="D1046" s="6" t="s">
        <v>2346</v>
      </c>
      <c r="E1046" s="6" t="s">
        <v>1137</v>
      </c>
      <c r="F1046" s="6" t="s">
        <v>81</v>
      </c>
      <c r="G1046" s="15" t="str" cm="1">
        <f t="array" ref="G1046">MultiMatchPrefix(Table_Data[[#This Row],[D ID]],Table_Mappings[Data ID],0,"",TRUE,";
")</f>
        <v/>
      </c>
      <c r="I1046" s="19" t="s">
        <v>2632</v>
      </c>
      <c r="J1046" s="19" t="s">
        <v>2633</v>
      </c>
      <c r="K1046" s="19" t="s">
        <v>2633</v>
      </c>
      <c r="L1046" s="19" t="s">
        <v>2634</v>
      </c>
      <c r="M1046" s="19" t="s">
        <v>2684</v>
      </c>
      <c r="N1046" s="181">
        <v>100</v>
      </c>
    </row>
    <row r="1047" spans="1:14" x14ac:dyDescent="0.25">
      <c r="A1047" s="20" t="s">
        <v>2365</v>
      </c>
      <c r="B1047" s="11" t="s">
        <v>643</v>
      </c>
      <c r="C1047" s="6" t="s">
        <v>2351</v>
      </c>
      <c r="D1047" s="6" t="s">
        <v>2346</v>
      </c>
      <c r="E1047" s="6" t="s">
        <v>870</v>
      </c>
      <c r="F1047" s="6" t="s">
        <v>81</v>
      </c>
      <c r="G1047" s="15" t="str" cm="1">
        <f t="array" ref="G1047">MultiMatchPrefix(Table_Data[[#This Row],[D ID]],Table_Mappings[Data ID],0,"",TRUE,";
")</f>
        <v/>
      </c>
    </row>
    <row r="1048" spans="1:14" x14ac:dyDescent="0.25">
      <c r="A1048" s="20" t="s">
        <v>2366</v>
      </c>
      <c r="B1048" s="11" t="s">
        <v>643</v>
      </c>
      <c r="C1048" s="6" t="s">
        <v>2351</v>
      </c>
      <c r="D1048" s="6" t="s">
        <v>2346</v>
      </c>
      <c r="E1048" s="6" t="s">
        <v>2367</v>
      </c>
      <c r="F1048" s="6" t="s">
        <v>81</v>
      </c>
      <c r="G1048" s="15" t="str" cm="1">
        <f t="array" ref="G1048">MultiMatchPrefix(Table_Data[[#This Row],[D ID]],Table_Mappings[Data ID],0,"",TRUE,";
")</f>
        <v/>
      </c>
    </row>
    <row r="1049" spans="1:14" x14ac:dyDescent="0.25">
      <c r="A1049" s="20" t="s">
        <v>2368</v>
      </c>
      <c r="B1049" s="11" t="s">
        <v>643</v>
      </c>
      <c r="C1049" s="6" t="s">
        <v>2351</v>
      </c>
      <c r="D1049" s="6" t="s">
        <v>2346</v>
      </c>
      <c r="E1049" s="6" t="s">
        <v>897</v>
      </c>
      <c r="F1049" s="6" t="s">
        <v>81</v>
      </c>
      <c r="G1049" s="15" t="str" cm="1">
        <f t="array" ref="G1049">MultiMatchPrefix(Table_Data[[#This Row],[D ID]],Table_Mappings[Data ID],0,"",TRUE,";
")</f>
        <v/>
      </c>
    </row>
    <row r="1050" spans="1:14" ht="37.5" x14ac:dyDescent="0.25">
      <c r="A1050" s="20" t="s">
        <v>584</v>
      </c>
      <c r="B1050" s="11" t="s">
        <v>79</v>
      </c>
      <c r="C1050" s="6" t="s">
        <v>2148</v>
      </c>
      <c r="D1050" s="17"/>
      <c r="E1050" s="17"/>
      <c r="F1050" s="6" t="s">
        <v>2369</v>
      </c>
      <c r="G1050" s="15" t="str" cm="1">
        <f t="array" ref="G1050">MultiMatchPrefix(Table_Data[[#This Row],[D ID]],Table_Mappings[Data ID],0,"",TRUE,";
")</f>
        <v xml:space="preserve">10.01 Donor Funding Compliance;
10.05 Donor Reporting;
10.09 Consortium Reporting </v>
      </c>
      <c r="I1050" s="19" t="s">
        <v>2632</v>
      </c>
      <c r="J1050" s="19" t="s">
        <v>2633</v>
      </c>
    </row>
    <row r="1051" spans="1:14" x14ac:dyDescent="0.25">
      <c r="A1051" s="20" t="s">
        <v>2370</v>
      </c>
      <c r="B1051" s="11" t="s">
        <v>640</v>
      </c>
      <c r="C1051" s="6" t="s">
        <v>2148</v>
      </c>
      <c r="D1051" s="6" t="s">
        <v>2371</v>
      </c>
      <c r="E1051" s="17"/>
      <c r="F1051" s="6" t="s">
        <v>81</v>
      </c>
      <c r="G1051" s="15" t="str" cm="1">
        <f t="array" ref="G1051">MultiMatchPrefix(Table_Data[[#This Row],[D ID]],Table_Mappings[Data ID],0,"",TRUE,";
")</f>
        <v/>
      </c>
      <c r="I1051" s="19" t="s">
        <v>2632</v>
      </c>
      <c r="J1051" s="19" t="s">
        <v>2633</v>
      </c>
      <c r="N1051" s="181">
        <v>100</v>
      </c>
    </row>
    <row r="1052" spans="1:14" x14ac:dyDescent="0.25">
      <c r="A1052" s="20" t="s">
        <v>2372</v>
      </c>
      <c r="B1052" s="11" t="s">
        <v>643</v>
      </c>
      <c r="C1052" s="6" t="s">
        <v>2148</v>
      </c>
      <c r="D1052" s="6" t="s">
        <v>2371</v>
      </c>
      <c r="E1052" s="6" t="s">
        <v>1137</v>
      </c>
      <c r="F1052" s="6" t="s">
        <v>81</v>
      </c>
      <c r="G1052" s="15" t="str" cm="1">
        <f t="array" ref="G1052">MultiMatchPrefix(Table_Data[[#This Row],[D ID]],Table_Mappings[Data ID],0,"",TRUE,";
")</f>
        <v/>
      </c>
      <c r="I1052" s="19" t="s">
        <v>2632</v>
      </c>
      <c r="J1052" s="19" t="s">
        <v>2633</v>
      </c>
      <c r="K1052" s="19" t="s">
        <v>2633</v>
      </c>
      <c r="L1052" s="19" t="s">
        <v>2634</v>
      </c>
      <c r="M1052" s="19" t="s">
        <v>2684</v>
      </c>
      <c r="N1052" s="181">
        <v>100</v>
      </c>
    </row>
    <row r="1053" spans="1:14" x14ac:dyDescent="0.25">
      <c r="A1053" s="20" t="s">
        <v>2373</v>
      </c>
      <c r="B1053" s="11" t="s">
        <v>643</v>
      </c>
      <c r="C1053" s="6" t="s">
        <v>2148</v>
      </c>
      <c r="D1053" s="6" t="s">
        <v>2371</v>
      </c>
      <c r="E1053" s="6" t="s">
        <v>1272</v>
      </c>
      <c r="F1053" s="6" t="s">
        <v>81</v>
      </c>
      <c r="G1053" s="15" t="str" cm="1">
        <f t="array" ref="G1053">MultiMatchPrefix(Table_Data[[#This Row],[D ID]],Table_Mappings[Data ID],0,"",TRUE,";
")</f>
        <v/>
      </c>
      <c r="I1053" s="19" t="s">
        <v>2632</v>
      </c>
      <c r="J1053" s="19" t="s">
        <v>2633</v>
      </c>
      <c r="K1053" s="19" t="s">
        <v>1216</v>
      </c>
      <c r="L1053" s="19" t="s">
        <v>2614</v>
      </c>
      <c r="N1053" s="181">
        <v>100</v>
      </c>
    </row>
    <row r="1054" spans="1:14" x14ac:dyDescent="0.25">
      <c r="A1054" s="20" t="s">
        <v>2374</v>
      </c>
      <c r="B1054" s="11" t="s">
        <v>640</v>
      </c>
      <c r="C1054" s="6" t="s">
        <v>2148</v>
      </c>
      <c r="D1054" s="6" t="s">
        <v>715</v>
      </c>
      <c r="E1054" s="17"/>
      <c r="F1054" s="6" t="s">
        <v>81</v>
      </c>
      <c r="G1054" s="15" t="str" cm="1">
        <f t="array" ref="G1054">MultiMatchPrefix(Table_Data[[#This Row],[D ID]],Table_Mappings[Data ID],0,"",TRUE,";
")</f>
        <v/>
      </c>
      <c r="I1054" s="19" t="s">
        <v>2632</v>
      </c>
      <c r="J1054" s="19" t="s">
        <v>715</v>
      </c>
      <c r="N1054" s="181">
        <v>100</v>
      </c>
    </row>
    <row r="1055" spans="1:14" ht="13" x14ac:dyDescent="0.25">
      <c r="A1055" s="20" t="s">
        <v>2375</v>
      </c>
      <c r="B1055" s="11" t="s">
        <v>643</v>
      </c>
      <c r="C1055" s="153" t="s">
        <v>2148</v>
      </c>
      <c r="D1055" s="153" t="s">
        <v>715</v>
      </c>
      <c r="E1055" s="153" t="s">
        <v>694</v>
      </c>
      <c r="F1055" s="6" t="s">
        <v>692</v>
      </c>
      <c r="G1055" s="15" t="str" cm="1">
        <f t="array" ref="G1055">MultiMatchPrefix(Table_Data[[#This Row],[D ID]],Table_Mappings[Data ID],0,"",TRUE,";
")</f>
        <v/>
      </c>
      <c r="I1055" s="19" t="s">
        <v>2632</v>
      </c>
      <c r="J1055" s="19" t="s">
        <v>715</v>
      </c>
      <c r="K1055" s="19" t="s">
        <v>715</v>
      </c>
      <c r="L1055" s="19" t="s">
        <v>2705</v>
      </c>
      <c r="M1055" s="19" t="s">
        <v>2673</v>
      </c>
      <c r="N1055" s="181">
        <v>100</v>
      </c>
    </row>
    <row r="1056" spans="1:14" x14ac:dyDescent="0.25">
      <c r="A1056" s="20" t="s">
        <v>2376</v>
      </c>
      <c r="B1056" s="11" t="s">
        <v>640</v>
      </c>
      <c r="C1056" s="6" t="s">
        <v>2148</v>
      </c>
      <c r="D1056" s="6" t="s">
        <v>765</v>
      </c>
      <c r="E1056" s="17"/>
      <c r="F1056" s="6" t="s">
        <v>81</v>
      </c>
      <c r="G1056" s="15" t="str" cm="1">
        <f t="array" ref="G1056">MultiMatchPrefix(Table_Data[[#This Row],[D ID]],Table_Mappings[Data ID],0,"",TRUE,";
")</f>
        <v/>
      </c>
      <c r="I1056" s="19" t="s">
        <v>2632</v>
      </c>
      <c r="J1056" s="19" t="s">
        <v>765</v>
      </c>
      <c r="K1056" s="19" t="s">
        <v>765</v>
      </c>
    </row>
    <row r="1057" spans="1:14" ht="25" x14ac:dyDescent="0.25">
      <c r="A1057" s="20" t="s">
        <v>2377</v>
      </c>
      <c r="B1057" s="11" t="s">
        <v>643</v>
      </c>
      <c r="C1057" s="6" t="s">
        <v>2148</v>
      </c>
      <c r="D1057" s="6" t="s">
        <v>765</v>
      </c>
      <c r="E1057" s="6" t="s">
        <v>772</v>
      </c>
      <c r="F1057" s="6" t="s">
        <v>81</v>
      </c>
      <c r="G1057" s="15" t="str" cm="1">
        <f t="array" ref="G1057">MultiMatchPrefix(Table_Data[[#This Row],[D ID]],Table_Mappings[Data ID],0,"",TRUE,";
")</f>
        <v/>
      </c>
      <c r="I1057" s="19" t="s">
        <v>2632</v>
      </c>
      <c r="J1057" s="19" t="s">
        <v>765</v>
      </c>
      <c r="K1057" s="19" t="s">
        <v>2738</v>
      </c>
      <c r="L1057" s="19" t="s">
        <v>2739</v>
      </c>
      <c r="M1057" s="19" t="s">
        <v>2740</v>
      </c>
      <c r="N1057" s="181">
        <v>100</v>
      </c>
    </row>
    <row r="1058" spans="1:14" x14ac:dyDescent="0.25">
      <c r="A1058" s="20" t="s">
        <v>2378</v>
      </c>
      <c r="B1058" s="11" t="s">
        <v>643</v>
      </c>
      <c r="C1058" s="6" t="s">
        <v>2148</v>
      </c>
      <c r="D1058" s="6" t="s">
        <v>765</v>
      </c>
      <c r="E1058" s="6" t="s">
        <v>770</v>
      </c>
      <c r="F1058" s="6" t="s">
        <v>81</v>
      </c>
      <c r="G1058" s="15" t="str" cm="1">
        <f t="array" ref="G1058">MultiMatchPrefix(Table_Data[[#This Row],[D ID]],Table_Mappings[Data ID],0,"",TRUE,";
")</f>
        <v/>
      </c>
      <c r="I1058" s="19" t="s">
        <v>2632</v>
      </c>
      <c r="J1058" s="19" t="s">
        <v>765</v>
      </c>
      <c r="K1058" s="19" t="s">
        <v>2741</v>
      </c>
      <c r="L1058" s="19" t="s">
        <v>2742</v>
      </c>
      <c r="N1058" s="181">
        <v>100</v>
      </c>
    </row>
    <row r="1059" spans="1:14" ht="25" x14ac:dyDescent="0.25">
      <c r="A1059" s="20" t="s">
        <v>589</v>
      </c>
      <c r="B1059" s="11" t="s">
        <v>79</v>
      </c>
      <c r="C1059" s="6" t="s">
        <v>2379</v>
      </c>
      <c r="D1059" s="17"/>
      <c r="E1059" s="17"/>
      <c r="F1059" s="6" t="s">
        <v>81</v>
      </c>
      <c r="G1059" s="15" t="str" cm="1">
        <f t="array" ref="G1059">MultiMatchPrefix(Table_Data[[#This Row],[D ID]],Table_Mappings[Data ID],0,"",TRUE,";
")</f>
        <v xml:space="preserve">10.01 Donor Funding Compliance;
10.09 Consortium Reporting </v>
      </c>
    </row>
    <row r="1060" spans="1:14" x14ac:dyDescent="0.25">
      <c r="A1060" s="20" t="s">
        <v>2380</v>
      </c>
      <c r="B1060" s="11" t="s">
        <v>640</v>
      </c>
      <c r="C1060" s="6" t="s">
        <v>2379</v>
      </c>
      <c r="D1060" s="6" t="s">
        <v>2371</v>
      </c>
      <c r="E1060" s="17"/>
      <c r="F1060" s="6" t="s">
        <v>81</v>
      </c>
      <c r="G1060" s="15" t="str" cm="1">
        <f t="array" ref="G1060">MultiMatchPrefix(Table_Data[[#This Row],[D ID]],Table_Mappings[Data ID],0,"",TRUE,";
")</f>
        <v/>
      </c>
    </row>
    <row r="1061" spans="1:14" x14ac:dyDescent="0.25">
      <c r="A1061" s="20" t="s">
        <v>2381</v>
      </c>
      <c r="B1061" s="11" t="s">
        <v>643</v>
      </c>
      <c r="C1061" s="6" t="s">
        <v>2379</v>
      </c>
      <c r="D1061" s="6" t="s">
        <v>2371</v>
      </c>
      <c r="E1061" s="6" t="s">
        <v>2221</v>
      </c>
      <c r="F1061" s="6" t="s">
        <v>81</v>
      </c>
      <c r="G1061" s="15" t="str" cm="1">
        <f t="array" ref="G1061">MultiMatchPrefix(Table_Data[[#This Row],[D ID]],Table_Mappings[Data ID],0,"",TRUE,";
")</f>
        <v/>
      </c>
    </row>
    <row r="1062" spans="1:14" x14ac:dyDescent="0.25">
      <c r="A1062" s="20" t="s">
        <v>2382</v>
      </c>
      <c r="B1062" s="11" t="s">
        <v>643</v>
      </c>
      <c r="C1062" s="6" t="s">
        <v>2379</v>
      </c>
      <c r="D1062" s="6" t="s">
        <v>2371</v>
      </c>
      <c r="E1062" s="6" t="s">
        <v>1137</v>
      </c>
      <c r="F1062" s="6" t="s">
        <v>81</v>
      </c>
      <c r="G1062" s="15" t="str" cm="1">
        <f t="array" ref="G1062">MultiMatchPrefix(Table_Data[[#This Row],[D ID]],Table_Mappings[Data ID],0,"",TRUE,";
")</f>
        <v/>
      </c>
      <c r="I1062" s="19" t="s">
        <v>2632</v>
      </c>
      <c r="J1062" s="19" t="s">
        <v>2633</v>
      </c>
      <c r="K1062" s="19" t="s">
        <v>2633</v>
      </c>
      <c r="L1062" s="19" t="s">
        <v>2634</v>
      </c>
      <c r="M1062" s="19" t="s">
        <v>2684</v>
      </c>
      <c r="N1062" s="181">
        <v>100</v>
      </c>
    </row>
    <row r="1063" spans="1:14" x14ac:dyDescent="0.25">
      <c r="A1063" s="20" t="s">
        <v>2383</v>
      </c>
      <c r="B1063" s="11" t="s">
        <v>643</v>
      </c>
      <c r="C1063" s="6" t="s">
        <v>2379</v>
      </c>
      <c r="D1063" s="6" t="s">
        <v>2371</v>
      </c>
      <c r="E1063" s="6" t="s">
        <v>1272</v>
      </c>
      <c r="F1063" s="6" t="s">
        <v>81</v>
      </c>
      <c r="G1063" s="15" t="str" cm="1">
        <f t="array" ref="G1063">MultiMatchPrefix(Table_Data[[#This Row],[D ID]],Table_Mappings[Data ID],0,"",TRUE,";
")</f>
        <v/>
      </c>
      <c r="I1063" s="19" t="s">
        <v>2632</v>
      </c>
      <c r="J1063" s="19" t="s">
        <v>2633</v>
      </c>
      <c r="K1063" s="19" t="s">
        <v>1216</v>
      </c>
      <c r="L1063" s="19" t="s">
        <v>2614</v>
      </c>
      <c r="N1063" s="181">
        <v>100</v>
      </c>
    </row>
    <row r="1064" spans="1:14" ht="25" x14ac:dyDescent="0.25">
      <c r="A1064" s="20" t="s">
        <v>2384</v>
      </c>
      <c r="B1064" s="11" t="s">
        <v>640</v>
      </c>
      <c r="C1064" s="6" t="s">
        <v>2379</v>
      </c>
      <c r="D1064" s="6" t="s">
        <v>2385</v>
      </c>
      <c r="E1064" s="17"/>
      <c r="F1064" s="6" t="s">
        <v>81</v>
      </c>
      <c r="G1064" s="15" t="str" cm="1">
        <f t="array" ref="G1064">MultiMatchPrefix(Table_Data[[#This Row],[D ID]],Table_Mappings[Data ID],0,"",TRUE,";
")</f>
        <v/>
      </c>
      <c r="I1064" s="19" t="s">
        <v>2632</v>
      </c>
      <c r="J1064" s="19" t="s">
        <v>2685</v>
      </c>
      <c r="K1064" s="19" t="s">
        <v>2685</v>
      </c>
      <c r="L1064" s="19" t="s">
        <v>2686</v>
      </c>
      <c r="N1064" s="181">
        <v>100</v>
      </c>
    </row>
    <row r="1065" spans="1:14" ht="25" x14ac:dyDescent="0.25">
      <c r="A1065" s="20" t="s">
        <v>2386</v>
      </c>
      <c r="B1065" s="11" t="s">
        <v>643</v>
      </c>
      <c r="C1065" s="6" t="s">
        <v>2379</v>
      </c>
      <c r="D1065" s="6" t="s">
        <v>2385</v>
      </c>
      <c r="E1065" s="6" t="s">
        <v>2387</v>
      </c>
      <c r="F1065" s="6" t="s">
        <v>81</v>
      </c>
      <c r="G1065" s="15" t="str" cm="1">
        <f t="array" ref="G1065">MultiMatchPrefix(Table_Data[[#This Row],[D ID]],Table_Mappings[Data ID],0,"",TRUE,";
")</f>
        <v/>
      </c>
      <c r="I1065" s="19" t="s">
        <v>2632</v>
      </c>
      <c r="J1065" s="19" t="s">
        <v>2685</v>
      </c>
      <c r="K1065" s="19" t="s">
        <v>2687</v>
      </c>
      <c r="L1065" s="19" t="s">
        <v>2688</v>
      </c>
      <c r="N1065" s="181">
        <v>100</v>
      </c>
    </row>
    <row r="1066" spans="1:14" ht="25" x14ac:dyDescent="0.25">
      <c r="A1066" s="20" t="s">
        <v>2388</v>
      </c>
      <c r="B1066" s="11" t="s">
        <v>643</v>
      </c>
      <c r="C1066" s="6" t="s">
        <v>2379</v>
      </c>
      <c r="D1066" s="6" t="s">
        <v>2385</v>
      </c>
      <c r="E1066" s="6" t="s">
        <v>2389</v>
      </c>
      <c r="F1066" s="6" t="s">
        <v>81</v>
      </c>
      <c r="G1066" s="15" t="str" cm="1">
        <f t="array" ref="G1066">MultiMatchPrefix(Table_Data[[#This Row],[D ID]],Table_Mappings[Data ID],0,"",TRUE,";
")</f>
        <v/>
      </c>
      <c r="I1066" s="19" t="s">
        <v>2632</v>
      </c>
      <c r="J1066" s="19" t="s">
        <v>2685</v>
      </c>
      <c r="K1066" s="19" t="s">
        <v>2690</v>
      </c>
      <c r="L1066" s="19" t="s">
        <v>2691</v>
      </c>
      <c r="N1066" s="181">
        <v>100</v>
      </c>
    </row>
    <row r="1067" spans="1:14" ht="25" x14ac:dyDescent="0.25">
      <c r="A1067" s="20" t="s">
        <v>2390</v>
      </c>
      <c r="B1067" s="11" t="s">
        <v>640</v>
      </c>
      <c r="C1067" s="6" t="s">
        <v>2379</v>
      </c>
      <c r="D1067" s="6" t="s">
        <v>2391</v>
      </c>
      <c r="E1067" s="17"/>
      <c r="F1067" s="6" t="s">
        <v>2392</v>
      </c>
      <c r="G1067" s="15" t="str" cm="1">
        <f t="array" ref="G1067">MultiMatchPrefix(Table_Data[[#This Row],[D ID]],Table_Mappings[Data ID],0,"",TRUE,";
")</f>
        <v/>
      </c>
    </row>
    <row r="1068" spans="1:14" x14ac:dyDescent="0.25">
      <c r="A1068" s="20" t="s">
        <v>2393</v>
      </c>
      <c r="B1068" s="11" t="s">
        <v>643</v>
      </c>
      <c r="C1068" s="6" t="s">
        <v>2379</v>
      </c>
      <c r="D1068" s="6" t="s">
        <v>2391</v>
      </c>
      <c r="E1068" s="6" t="s">
        <v>644</v>
      </c>
      <c r="F1068" s="6" t="s">
        <v>81</v>
      </c>
      <c r="G1068" s="15" t="str" cm="1">
        <f t="array" ref="G1068">MultiMatchPrefix(Table_Data[[#This Row],[D ID]],Table_Mappings[Data ID],0,"",TRUE,";
")</f>
        <v/>
      </c>
    </row>
    <row r="1069" spans="1:14" x14ac:dyDescent="0.25">
      <c r="A1069" s="20" t="s">
        <v>2394</v>
      </c>
      <c r="B1069" s="11" t="s">
        <v>643</v>
      </c>
      <c r="C1069" s="6" t="s">
        <v>2379</v>
      </c>
      <c r="D1069" s="6" t="s">
        <v>2391</v>
      </c>
      <c r="E1069" s="6" t="s">
        <v>650</v>
      </c>
      <c r="F1069" s="6" t="s">
        <v>81</v>
      </c>
      <c r="G1069" s="15" t="str" cm="1">
        <f t="array" ref="G1069">MultiMatchPrefix(Table_Data[[#This Row],[D ID]],Table_Mappings[Data ID],0,"",TRUE,";
")</f>
        <v/>
      </c>
    </row>
    <row r="1070" spans="1:14" x14ac:dyDescent="0.25">
      <c r="A1070" s="20" t="s">
        <v>2395</v>
      </c>
      <c r="B1070" s="11" t="s">
        <v>643</v>
      </c>
      <c r="C1070" s="6" t="s">
        <v>2379</v>
      </c>
      <c r="D1070" s="6" t="s">
        <v>2391</v>
      </c>
      <c r="E1070" s="6" t="s">
        <v>880</v>
      </c>
      <c r="F1070" s="6" t="s">
        <v>81</v>
      </c>
      <c r="G1070" s="15" t="str" cm="1">
        <f t="array" ref="G1070">MultiMatchPrefix(Table_Data[[#This Row],[D ID]],Table_Mappings[Data ID],0,"",TRUE,";
")</f>
        <v/>
      </c>
    </row>
    <row r="1071" spans="1:14" x14ac:dyDescent="0.25">
      <c r="A1071" s="20" t="s">
        <v>2396</v>
      </c>
      <c r="B1071" s="11" t="s">
        <v>643</v>
      </c>
      <c r="C1071" s="6" t="s">
        <v>2379</v>
      </c>
      <c r="D1071" s="6" t="s">
        <v>2391</v>
      </c>
      <c r="E1071" s="6" t="s">
        <v>1703</v>
      </c>
      <c r="F1071" s="6" t="s">
        <v>81</v>
      </c>
      <c r="G1071" s="15" t="str" cm="1">
        <f t="array" ref="G1071">MultiMatchPrefix(Table_Data[[#This Row],[D ID]],Table_Mappings[Data ID],0,"",TRUE,";
")</f>
        <v/>
      </c>
    </row>
    <row r="1072" spans="1:14" x14ac:dyDescent="0.25">
      <c r="A1072" s="20" t="s">
        <v>2397</v>
      </c>
      <c r="B1072" s="11" t="s">
        <v>640</v>
      </c>
      <c r="C1072" s="6" t="s">
        <v>2379</v>
      </c>
      <c r="D1072" s="6" t="s">
        <v>64</v>
      </c>
      <c r="E1072" s="17"/>
      <c r="F1072" s="6" t="s">
        <v>2398</v>
      </c>
      <c r="G1072" s="15" t="str" cm="1">
        <f t="array" ref="G1072">MultiMatchPrefix(Table_Data[[#This Row],[D ID]],Table_Mappings[Data ID],0,"",TRUE,";
")</f>
        <v/>
      </c>
    </row>
    <row r="1073" spans="1:14" x14ac:dyDescent="0.25">
      <c r="A1073" s="20" t="s">
        <v>2399</v>
      </c>
      <c r="B1073" s="11" t="s">
        <v>643</v>
      </c>
      <c r="C1073" s="6" t="s">
        <v>2379</v>
      </c>
      <c r="D1073" s="6" t="s">
        <v>64</v>
      </c>
      <c r="E1073" s="6" t="s">
        <v>1756</v>
      </c>
      <c r="F1073" s="6" t="s">
        <v>81</v>
      </c>
      <c r="G1073" s="15" t="str" cm="1">
        <f t="array" ref="G1073">MultiMatchPrefix(Table_Data[[#This Row],[D ID]],Table_Mappings[Data ID],0,"",TRUE,";
")</f>
        <v/>
      </c>
    </row>
    <row r="1074" spans="1:14" x14ac:dyDescent="0.25">
      <c r="A1074" s="20" t="s">
        <v>2400</v>
      </c>
      <c r="B1074" s="11" t="s">
        <v>643</v>
      </c>
      <c r="C1074" s="6" t="s">
        <v>2379</v>
      </c>
      <c r="D1074" s="6" t="s">
        <v>64</v>
      </c>
      <c r="E1074" s="6" t="s">
        <v>1759</v>
      </c>
      <c r="F1074" s="6" t="s">
        <v>81</v>
      </c>
      <c r="G1074" s="15" t="str" cm="1">
        <f t="array" ref="G1074">MultiMatchPrefix(Table_Data[[#This Row],[D ID]],Table_Mappings[Data ID],0,"",TRUE,";
")</f>
        <v/>
      </c>
    </row>
    <row r="1075" spans="1:14" x14ac:dyDescent="0.25">
      <c r="A1075" s="20" t="s">
        <v>2401</v>
      </c>
      <c r="B1075" s="11" t="s">
        <v>640</v>
      </c>
      <c r="C1075" s="6" t="s">
        <v>2379</v>
      </c>
      <c r="D1075" s="6" t="s">
        <v>2402</v>
      </c>
      <c r="E1075" s="17"/>
      <c r="F1075" s="6" t="s">
        <v>2403</v>
      </c>
      <c r="G1075" s="15" t="str" cm="1">
        <f t="array" ref="G1075">MultiMatchPrefix(Table_Data[[#This Row],[D ID]],Table_Mappings[Data ID],0,"",TRUE,";
")</f>
        <v/>
      </c>
      <c r="I1075" s="19" t="s">
        <v>2632</v>
      </c>
      <c r="J1075" s="19" t="s">
        <v>2694</v>
      </c>
      <c r="K1075" s="19" t="s">
        <v>2694</v>
      </c>
      <c r="L1075" s="19" t="s">
        <v>2695</v>
      </c>
      <c r="N1075" s="181">
        <v>100</v>
      </c>
    </row>
    <row r="1076" spans="1:14" ht="50" x14ac:dyDescent="0.25">
      <c r="A1076" s="20" t="s">
        <v>2404</v>
      </c>
      <c r="B1076" s="11" t="s">
        <v>643</v>
      </c>
      <c r="C1076" s="6" t="s">
        <v>2379</v>
      </c>
      <c r="D1076" s="6" t="s">
        <v>2402</v>
      </c>
      <c r="E1076" s="6" t="s">
        <v>870</v>
      </c>
      <c r="F1076" s="6" t="s">
        <v>81</v>
      </c>
      <c r="G1076" s="15" t="str" cm="1">
        <f t="array" ref="G1076">MultiMatchPrefix(Table_Data[[#This Row],[D ID]],Table_Mappings[Data ID],0,"",TRUE,";
")</f>
        <v/>
      </c>
      <c r="I1076" s="19" t="s">
        <v>2632</v>
      </c>
      <c r="J1076" s="19" t="s">
        <v>2694</v>
      </c>
      <c r="K1076" s="19" t="s">
        <v>2692</v>
      </c>
      <c r="L1076" s="19" t="s">
        <v>2752</v>
      </c>
      <c r="M1076" s="19" t="s">
        <v>2732</v>
      </c>
      <c r="N1076" s="181" t="s">
        <v>2639</v>
      </c>
    </row>
    <row r="1077" spans="1:14" ht="37.5" x14ac:dyDescent="0.25">
      <c r="A1077" s="20" t="s">
        <v>2405</v>
      </c>
      <c r="B1077" s="11" t="s">
        <v>643</v>
      </c>
      <c r="C1077" s="6" t="s">
        <v>2379</v>
      </c>
      <c r="D1077" s="6" t="s">
        <v>2402</v>
      </c>
      <c r="E1077" s="6" t="s">
        <v>2406</v>
      </c>
      <c r="F1077" s="6" t="s">
        <v>81</v>
      </c>
      <c r="G1077" s="15" t="str" cm="1">
        <f t="array" ref="G1077">MultiMatchPrefix(Table_Data[[#This Row],[D ID]],Table_Mappings[Data ID],0,"",TRUE,";
")</f>
        <v/>
      </c>
      <c r="I1077" s="19" t="s">
        <v>2632</v>
      </c>
      <c r="J1077" s="19" t="s">
        <v>2694</v>
      </c>
      <c r="K1077" s="19" t="s">
        <v>2700</v>
      </c>
      <c r="L1077" s="19" t="s">
        <v>2701</v>
      </c>
      <c r="M1077" s="19" t="s">
        <v>2731</v>
      </c>
      <c r="N1077" s="181" t="s">
        <v>2639</v>
      </c>
    </row>
    <row r="1078" spans="1:14" x14ac:dyDescent="0.25">
      <c r="A1078" s="20" t="s">
        <v>2407</v>
      </c>
      <c r="B1078" s="11" t="s">
        <v>643</v>
      </c>
      <c r="C1078" s="6" t="s">
        <v>2379</v>
      </c>
      <c r="D1078" s="6" t="s">
        <v>2402</v>
      </c>
      <c r="E1078" s="6" t="s">
        <v>2408</v>
      </c>
      <c r="F1078" s="6" t="s">
        <v>81</v>
      </c>
      <c r="G1078" s="15" t="str" cm="1">
        <f t="array" ref="G1078">MultiMatchPrefix(Table_Data[[#This Row],[D ID]],Table_Mappings[Data ID],0,"",TRUE,";
")</f>
        <v/>
      </c>
      <c r="I1078" s="19" t="s">
        <v>2632</v>
      </c>
      <c r="J1078" s="19" t="s">
        <v>2694</v>
      </c>
      <c r="K1078" s="19" t="s">
        <v>2698</v>
      </c>
      <c r="L1078" s="19" t="s">
        <v>2699</v>
      </c>
      <c r="N1078" s="181" t="s">
        <v>2639</v>
      </c>
    </row>
    <row r="1079" spans="1:14" x14ac:dyDescent="0.25">
      <c r="A1079" s="20" t="s">
        <v>2409</v>
      </c>
      <c r="B1079" s="11" t="s">
        <v>643</v>
      </c>
      <c r="C1079" s="6" t="s">
        <v>2379</v>
      </c>
      <c r="D1079" s="6" t="s">
        <v>2402</v>
      </c>
      <c r="E1079" s="6" t="s">
        <v>2363</v>
      </c>
      <c r="F1079" s="6" t="s">
        <v>81</v>
      </c>
      <c r="G1079" s="15" t="str" cm="1">
        <f t="array" ref="G1079">MultiMatchPrefix(Table_Data[[#This Row],[D ID]],Table_Mappings[Data ID],0,"",TRUE,";
")</f>
        <v/>
      </c>
      <c r="I1079" s="19" t="s">
        <v>2632</v>
      </c>
      <c r="J1079" s="19" t="s">
        <v>2694</v>
      </c>
      <c r="K1079" s="19" t="s">
        <v>1703</v>
      </c>
      <c r="L1079" s="19" t="s">
        <v>2689</v>
      </c>
      <c r="N1079" s="181">
        <v>100</v>
      </c>
    </row>
    <row r="1080" spans="1:14" x14ac:dyDescent="0.25">
      <c r="A1080" s="20" t="s">
        <v>2410</v>
      </c>
      <c r="B1080" s="11" t="s">
        <v>643</v>
      </c>
      <c r="C1080" s="6" t="s">
        <v>2379</v>
      </c>
      <c r="D1080" s="6" t="s">
        <v>2402</v>
      </c>
      <c r="E1080" s="6" t="s">
        <v>781</v>
      </c>
      <c r="F1080" s="6" t="s">
        <v>81</v>
      </c>
      <c r="G1080" s="15" t="str" cm="1">
        <f t="array" ref="G1080">MultiMatchPrefix(Table_Data[[#This Row],[D ID]],Table_Mappings[Data ID],0,"",TRUE,";
")</f>
        <v/>
      </c>
      <c r="I1080" s="19" t="s">
        <v>2632</v>
      </c>
      <c r="J1080" s="19" t="s">
        <v>2694</v>
      </c>
      <c r="K1080" s="19" t="s">
        <v>781</v>
      </c>
      <c r="L1080" s="19" t="s">
        <v>2630</v>
      </c>
    </row>
    <row r="1081" spans="1:14" x14ac:dyDescent="0.25">
      <c r="A1081" s="20" t="s">
        <v>2411</v>
      </c>
      <c r="B1081" s="11" t="s">
        <v>643</v>
      </c>
      <c r="C1081" s="6" t="s">
        <v>2379</v>
      </c>
      <c r="D1081" s="6" t="s">
        <v>2402</v>
      </c>
      <c r="E1081" s="6" t="s">
        <v>2367</v>
      </c>
      <c r="F1081" s="6" t="s">
        <v>81</v>
      </c>
      <c r="G1081" s="15" t="str" cm="1">
        <f t="array" ref="G1081">MultiMatchPrefix(Table_Data[[#This Row],[D ID]],Table_Mappings[Data ID],0,"",TRUE,";
")</f>
        <v/>
      </c>
      <c r="I1081" s="19" t="s">
        <v>2632</v>
      </c>
      <c r="J1081" s="19" t="s">
        <v>2694</v>
      </c>
      <c r="K1081" s="19" t="s">
        <v>2696</v>
      </c>
      <c r="L1081" s="19" t="s">
        <v>2697</v>
      </c>
      <c r="N1081" s="181" t="s">
        <v>2639</v>
      </c>
    </row>
    <row r="1082" spans="1:14" x14ac:dyDescent="0.25">
      <c r="A1082" s="20" t="s">
        <v>2412</v>
      </c>
      <c r="B1082" s="11" t="s">
        <v>643</v>
      </c>
      <c r="C1082" s="6" t="s">
        <v>2379</v>
      </c>
      <c r="D1082" s="6" t="s">
        <v>2402</v>
      </c>
      <c r="E1082" s="6" t="s">
        <v>897</v>
      </c>
      <c r="F1082" s="6" t="s">
        <v>81</v>
      </c>
      <c r="G1082" s="15" t="str" cm="1">
        <f t="array" ref="G1082">MultiMatchPrefix(Table_Data[[#This Row],[D ID]],Table_Mappings[Data ID],0,"",TRUE,";
")</f>
        <v/>
      </c>
      <c r="I1082" s="19" t="s">
        <v>2632</v>
      </c>
      <c r="J1082" s="19" t="s">
        <v>2694</v>
      </c>
      <c r="K1082" s="19" t="s">
        <v>897</v>
      </c>
      <c r="L1082" s="19" t="s">
        <v>2676</v>
      </c>
      <c r="N1082" s="181" t="s">
        <v>2639</v>
      </c>
    </row>
    <row r="1083" spans="1:14" ht="25" x14ac:dyDescent="0.25">
      <c r="A1083" s="20" t="s">
        <v>591</v>
      </c>
      <c r="B1083" s="11" t="s">
        <v>79</v>
      </c>
      <c r="C1083" s="6" t="s">
        <v>2413</v>
      </c>
      <c r="D1083" s="17"/>
      <c r="E1083" s="17"/>
      <c r="F1083" s="6" t="s">
        <v>2414</v>
      </c>
      <c r="G1083" s="15" t="str" cm="1">
        <f t="array" ref="G1083">MultiMatchPrefix(Table_Data[[#This Row],[D ID]],Table_Mappings[Data ID],0,"",TRUE,";
")</f>
        <v>10.02 Donor Funding - Procurement Tracking ;
10.05 Donor Reporting</v>
      </c>
    </row>
    <row r="1084" spans="1:14" x14ac:dyDescent="0.25">
      <c r="A1084" s="20" t="s">
        <v>2415</v>
      </c>
      <c r="B1084" s="11" t="s">
        <v>640</v>
      </c>
      <c r="C1084" s="6" t="s">
        <v>2413</v>
      </c>
      <c r="D1084" s="6" t="s">
        <v>58</v>
      </c>
      <c r="E1084" s="17"/>
      <c r="F1084" s="6" t="s">
        <v>81</v>
      </c>
      <c r="G1084" s="15" t="str" cm="1">
        <f t="array" ref="G1084">MultiMatchPrefix(Table_Data[[#This Row],[D ID]],Table_Mappings[Data ID],0,"",TRUE,";
")</f>
        <v/>
      </c>
    </row>
    <row r="1085" spans="1:14" ht="13" x14ac:dyDescent="0.25">
      <c r="A1085" s="20" t="s">
        <v>2416</v>
      </c>
      <c r="B1085" s="11" t="s">
        <v>643</v>
      </c>
      <c r="C1085" s="153" t="s">
        <v>2413</v>
      </c>
      <c r="D1085" s="153" t="s">
        <v>58</v>
      </c>
      <c r="E1085" s="153" t="s">
        <v>2417</v>
      </c>
      <c r="F1085" s="6" t="s">
        <v>2418</v>
      </c>
      <c r="G1085" s="15" t="str" cm="1">
        <f t="array" ref="G1085">MultiMatchPrefix(Table_Data[[#This Row],[D ID]],Table_Mappings[Data ID],0,"",TRUE,";
")</f>
        <v/>
      </c>
    </row>
    <row r="1086" spans="1:14" x14ac:dyDescent="0.25">
      <c r="A1086" s="20" t="s">
        <v>2419</v>
      </c>
      <c r="B1086" s="11" t="s">
        <v>640</v>
      </c>
      <c r="C1086" s="6" t="s">
        <v>2413</v>
      </c>
      <c r="D1086" s="6" t="s">
        <v>61</v>
      </c>
      <c r="E1086" s="17"/>
      <c r="F1086" s="6" t="s">
        <v>81</v>
      </c>
      <c r="G1086" s="15" t="str" cm="1">
        <f t="array" ref="G1086">MultiMatchPrefix(Table_Data[[#This Row],[D ID]],Table_Mappings[Data ID],0,"",TRUE,";
")</f>
        <v/>
      </c>
    </row>
    <row r="1087" spans="1:14" ht="13" x14ac:dyDescent="0.25">
      <c r="A1087" s="20" t="s">
        <v>2420</v>
      </c>
      <c r="B1087" s="11" t="s">
        <v>643</v>
      </c>
      <c r="C1087" s="153" t="s">
        <v>2413</v>
      </c>
      <c r="D1087" s="153" t="s">
        <v>61</v>
      </c>
      <c r="E1087" s="153" t="s">
        <v>2421</v>
      </c>
      <c r="F1087" s="6" t="s">
        <v>2418</v>
      </c>
      <c r="G1087" s="15" t="str" cm="1">
        <f t="array" ref="G1087">MultiMatchPrefix(Table_Data[[#This Row],[D ID]],Table_Mappings[Data ID],0,"",TRUE,";
")</f>
        <v/>
      </c>
    </row>
    <row r="1088" spans="1:14" x14ac:dyDescent="0.25">
      <c r="A1088" s="20" t="s">
        <v>2422</v>
      </c>
      <c r="B1088" s="11" t="s">
        <v>640</v>
      </c>
      <c r="C1088" s="6" t="s">
        <v>2413</v>
      </c>
      <c r="D1088" s="6" t="s">
        <v>2391</v>
      </c>
      <c r="E1088" s="17"/>
      <c r="F1088" s="6" t="s">
        <v>81</v>
      </c>
      <c r="G1088" s="15" t="str" cm="1">
        <f t="array" ref="G1088">MultiMatchPrefix(Table_Data[[#This Row],[D ID]],Table_Mappings[Data ID],0,"",TRUE,";
")</f>
        <v/>
      </c>
    </row>
    <row r="1089" spans="1:14" x14ac:dyDescent="0.25">
      <c r="A1089" s="20" t="s">
        <v>2423</v>
      </c>
      <c r="B1089" s="11" t="s">
        <v>643</v>
      </c>
      <c r="C1089" s="6" t="s">
        <v>2413</v>
      </c>
      <c r="D1089" s="6" t="s">
        <v>2391</v>
      </c>
      <c r="E1089" s="6" t="s">
        <v>1137</v>
      </c>
      <c r="F1089" s="6" t="s">
        <v>2424</v>
      </c>
      <c r="G1089" s="15" t="str" cm="1">
        <f t="array" ref="G1089">MultiMatchPrefix(Table_Data[[#This Row],[D ID]],Table_Mappings[Data ID],0,"",TRUE,";
")</f>
        <v/>
      </c>
      <c r="I1089" s="19" t="s">
        <v>2632</v>
      </c>
      <c r="J1089" s="19" t="s">
        <v>2633</v>
      </c>
      <c r="K1089" s="19" t="s">
        <v>2633</v>
      </c>
      <c r="L1089" s="19" t="s">
        <v>2634</v>
      </c>
      <c r="M1089" s="19" t="s">
        <v>2684</v>
      </c>
      <c r="N1089" s="181">
        <v>100</v>
      </c>
    </row>
    <row r="1090" spans="1:14" ht="37.5" x14ac:dyDescent="0.25">
      <c r="A1090" s="20" t="s">
        <v>593</v>
      </c>
      <c r="B1090" s="11" t="s">
        <v>79</v>
      </c>
      <c r="C1090" s="6" t="s">
        <v>2425</v>
      </c>
      <c r="D1090" s="17"/>
      <c r="E1090" s="17"/>
      <c r="F1090" s="6" t="s">
        <v>2426</v>
      </c>
      <c r="G1090" s="15" t="str" cm="1">
        <f t="array" ref="G1090">MultiMatchPrefix(Table_Data[[#This Row],[D ID]],Table_Mappings[Data ID],0,"",TRUE,";
")</f>
        <v xml:space="preserve">10.03 Donor Funding - Warehousing Tracking ;
10.05 Donor Reporting;
10.09 Consortium Reporting </v>
      </c>
    </row>
    <row r="1091" spans="1:14" x14ac:dyDescent="0.25">
      <c r="A1091" s="20" t="s">
        <v>2427</v>
      </c>
      <c r="B1091" s="11" t="s">
        <v>640</v>
      </c>
      <c r="C1091" s="6" t="s">
        <v>2425</v>
      </c>
      <c r="D1091" s="6" t="s">
        <v>61</v>
      </c>
      <c r="E1091" s="17"/>
      <c r="F1091" s="6" t="s">
        <v>81</v>
      </c>
      <c r="G1091" s="15" t="str" cm="1">
        <f t="array" ref="G1091">MultiMatchPrefix(Table_Data[[#This Row],[D ID]],Table_Mappings[Data ID],0,"",TRUE,";
")</f>
        <v/>
      </c>
    </row>
    <row r="1092" spans="1:14" ht="13" x14ac:dyDescent="0.25">
      <c r="A1092" s="20" t="s">
        <v>2428</v>
      </c>
      <c r="B1092" s="11" t="s">
        <v>643</v>
      </c>
      <c r="C1092" s="153" t="s">
        <v>2425</v>
      </c>
      <c r="D1092" s="153" t="s">
        <v>61</v>
      </c>
      <c r="E1092" s="153" t="s">
        <v>2421</v>
      </c>
      <c r="F1092" s="6" t="s">
        <v>2418</v>
      </c>
      <c r="G1092" s="15" t="str" cm="1">
        <f t="array" ref="G1092">MultiMatchPrefix(Table_Data[[#This Row],[D ID]],Table_Mappings[Data ID],0,"",TRUE,";
")</f>
        <v/>
      </c>
    </row>
    <row r="1093" spans="1:14" x14ac:dyDescent="0.25">
      <c r="A1093" s="20" t="s">
        <v>2429</v>
      </c>
      <c r="B1093" s="11" t="s">
        <v>640</v>
      </c>
      <c r="C1093" s="6" t="s">
        <v>2425</v>
      </c>
      <c r="D1093" s="6" t="s">
        <v>2391</v>
      </c>
      <c r="E1093" s="17"/>
      <c r="F1093" s="6" t="s">
        <v>81</v>
      </c>
      <c r="G1093" s="15" t="str" cm="1">
        <f t="array" ref="G1093">MultiMatchPrefix(Table_Data[[#This Row],[D ID]],Table_Mappings[Data ID],0,"",TRUE,";
")</f>
        <v/>
      </c>
    </row>
    <row r="1094" spans="1:14" x14ac:dyDescent="0.25">
      <c r="A1094" s="20" t="s">
        <v>2430</v>
      </c>
      <c r="B1094" s="11" t="s">
        <v>643</v>
      </c>
      <c r="C1094" s="6" t="s">
        <v>2425</v>
      </c>
      <c r="D1094" s="6" t="s">
        <v>2391</v>
      </c>
      <c r="E1094" s="6" t="s">
        <v>1137</v>
      </c>
      <c r="F1094" s="6" t="s">
        <v>2424</v>
      </c>
      <c r="G1094" s="15" t="str" cm="1">
        <f t="array" ref="G1094">MultiMatchPrefix(Table_Data[[#This Row],[D ID]],Table_Mappings[Data ID],0,"",TRUE,";
")</f>
        <v/>
      </c>
      <c r="I1094" s="19" t="s">
        <v>2632</v>
      </c>
      <c r="J1094" s="19" t="s">
        <v>2633</v>
      </c>
      <c r="K1094" s="19" t="s">
        <v>2633</v>
      </c>
      <c r="L1094" s="19" t="s">
        <v>2634</v>
      </c>
      <c r="M1094" s="19" t="s">
        <v>2684</v>
      </c>
      <c r="N1094" s="181">
        <v>100</v>
      </c>
    </row>
    <row r="1095" spans="1:14" x14ac:dyDescent="0.25">
      <c r="A1095" s="20" t="s">
        <v>2431</v>
      </c>
      <c r="B1095" s="11" t="s">
        <v>640</v>
      </c>
      <c r="C1095" s="6" t="s">
        <v>2425</v>
      </c>
      <c r="D1095" s="6" t="s">
        <v>64</v>
      </c>
      <c r="E1095" s="17"/>
      <c r="F1095" s="6" t="s">
        <v>81</v>
      </c>
      <c r="G1095" s="15" t="str" cm="1">
        <f t="array" ref="G1095">MultiMatchPrefix(Table_Data[[#This Row],[D ID]],Table_Mappings[Data ID],0,"",TRUE,";
")</f>
        <v/>
      </c>
    </row>
    <row r="1096" spans="1:14" x14ac:dyDescent="0.25">
      <c r="A1096" s="20" t="s">
        <v>2432</v>
      </c>
      <c r="B1096" s="11" t="s">
        <v>643</v>
      </c>
      <c r="C1096" s="6" t="s">
        <v>2425</v>
      </c>
      <c r="D1096" s="6" t="s">
        <v>64</v>
      </c>
      <c r="E1096" s="6" t="s">
        <v>1756</v>
      </c>
      <c r="F1096" s="6" t="s">
        <v>2315</v>
      </c>
      <c r="G1096" s="15" t="str" cm="1">
        <f t="array" ref="G1096">MultiMatchPrefix(Table_Data[[#This Row],[D ID]],Table_Mappings[Data ID],0,"",TRUE,";
")</f>
        <v/>
      </c>
    </row>
    <row r="1097" spans="1:14" x14ac:dyDescent="0.25">
      <c r="A1097" s="20" t="s">
        <v>2433</v>
      </c>
      <c r="B1097" s="11" t="s">
        <v>643</v>
      </c>
      <c r="C1097" s="6" t="s">
        <v>2425</v>
      </c>
      <c r="D1097" s="6" t="s">
        <v>64</v>
      </c>
      <c r="E1097" s="6" t="s">
        <v>1759</v>
      </c>
      <c r="F1097" s="6" t="s">
        <v>2315</v>
      </c>
      <c r="G1097" s="15" t="str" cm="1">
        <f t="array" ref="G1097">MultiMatchPrefix(Table_Data[[#This Row],[D ID]],Table_Mappings[Data ID],0,"",TRUE,";
")</f>
        <v/>
      </c>
    </row>
    <row r="1098" spans="1:14" x14ac:dyDescent="0.25">
      <c r="A1098" s="20" t="s">
        <v>2434</v>
      </c>
      <c r="B1098" s="11" t="s">
        <v>640</v>
      </c>
      <c r="C1098" s="6" t="s">
        <v>2425</v>
      </c>
      <c r="D1098" s="6" t="s">
        <v>2435</v>
      </c>
      <c r="E1098" s="17"/>
      <c r="F1098" s="6" t="s">
        <v>2436</v>
      </c>
      <c r="G1098" s="15" t="str" cm="1">
        <f t="array" ref="G1098">MultiMatchPrefix(Table_Data[[#This Row],[D ID]],Table_Mappings[Data ID],0,"",TRUE,";
")</f>
        <v/>
      </c>
    </row>
    <row r="1099" spans="1:14" x14ac:dyDescent="0.25">
      <c r="A1099" s="20" t="s">
        <v>2437</v>
      </c>
      <c r="B1099" s="11" t="s">
        <v>643</v>
      </c>
      <c r="C1099" s="6" t="s">
        <v>2425</v>
      </c>
      <c r="D1099" s="6" t="s">
        <v>2435</v>
      </c>
      <c r="E1099" s="6" t="s">
        <v>650</v>
      </c>
      <c r="F1099" s="6" t="s">
        <v>81</v>
      </c>
      <c r="G1099" s="15" t="str" cm="1">
        <f t="array" ref="G1099">MultiMatchPrefix(Table_Data[[#This Row],[D ID]],Table_Mappings[Data ID],0,"",TRUE,";
")</f>
        <v/>
      </c>
    </row>
    <row r="1100" spans="1:14" x14ac:dyDescent="0.25">
      <c r="A1100" s="20" t="s">
        <v>2438</v>
      </c>
      <c r="B1100" s="11" t="s">
        <v>643</v>
      </c>
      <c r="C1100" s="6" t="s">
        <v>2425</v>
      </c>
      <c r="D1100" s="6" t="s">
        <v>2435</v>
      </c>
      <c r="E1100" s="6" t="s">
        <v>2439</v>
      </c>
      <c r="F1100" s="6" t="s">
        <v>81</v>
      </c>
      <c r="G1100" s="15" t="str" cm="1">
        <f t="array" ref="G1100">MultiMatchPrefix(Table_Data[[#This Row],[D ID]],Table_Mappings[Data ID],0,"",TRUE,";
")</f>
        <v/>
      </c>
    </row>
    <row r="1101" spans="1:14" ht="25" x14ac:dyDescent="0.25">
      <c r="A1101" s="20" t="s">
        <v>595</v>
      </c>
      <c r="B1101" s="11" t="s">
        <v>79</v>
      </c>
      <c r="C1101" s="6" t="s">
        <v>2440</v>
      </c>
      <c r="D1101" s="17"/>
      <c r="E1101" s="17"/>
      <c r="F1101" s="6" t="s">
        <v>2441</v>
      </c>
      <c r="G1101" s="15" t="str" cm="1">
        <f t="array" ref="G1101">MultiMatchPrefix(Table_Data[[#This Row],[D ID]],Table_Mappings[Data ID],0,"",TRUE,";
")</f>
        <v>10.04 Donor Funding - Distribution Tracking ;
10.05 Donor Reporting</v>
      </c>
    </row>
    <row r="1102" spans="1:14" ht="25" x14ac:dyDescent="0.25">
      <c r="A1102" s="20" t="s">
        <v>2442</v>
      </c>
      <c r="B1102" s="11" t="s">
        <v>640</v>
      </c>
      <c r="C1102" s="6" t="s">
        <v>2440</v>
      </c>
      <c r="D1102" s="6" t="s">
        <v>61</v>
      </c>
      <c r="E1102" s="17"/>
      <c r="F1102" s="6" t="s">
        <v>81</v>
      </c>
      <c r="G1102" s="15" t="str" cm="1">
        <f t="array" ref="G1102">MultiMatchPrefix(Table_Data[[#This Row],[D ID]],Table_Mappings[Data ID],0,"",TRUE,";
")</f>
        <v/>
      </c>
    </row>
    <row r="1103" spans="1:14" ht="26" x14ac:dyDescent="0.25">
      <c r="A1103" s="20" t="s">
        <v>2443</v>
      </c>
      <c r="B1103" s="11" t="s">
        <v>643</v>
      </c>
      <c r="C1103" s="153" t="s">
        <v>2440</v>
      </c>
      <c r="D1103" s="153" t="s">
        <v>61</v>
      </c>
      <c r="E1103" s="153" t="s">
        <v>2421</v>
      </c>
      <c r="F1103" s="6" t="s">
        <v>2418</v>
      </c>
      <c r="G1103" s="15" t="str" cm="1">
        <f t="array" ref="G1103">MultiMatchPrefix(Table_Data[[#This Row],[D ID]],Table_Mappings[Data ID],0,"",TRUE,";
")</f>
        <v/>
      </c>
    </row>
    <row r="1104" spans="1:14" ht="25" x14ac:dyDescent="0.25">
      <c r="A1104" s="20" t="s">
        <v>2444</v>
      </c>
      <c r="B1104" s="11" t="s">
        <v>640</v>
      </c>
      <c r="C1104" s="6" t="s">
        <v>2440</v>
      </c>
      <c r="D1104" s="6" t="s">
        <v>2391</v>
      </c>
      <c r="E1104" s="17"/>
      <c r="F1104" s="6" t="s">
        <v>81</v>
      </c>
      <c r="G1104" s="15" t="str" cm="1">
        <f t="array" ref="G1104">MultiMatchPrefix(Table_Data[[#This Row],[D ID]],Table_Mappings[Data ID],0,"",TRUE,";
")</f>
        <v/>
      </c>
    </row>
    <row r="1105" spans="1:14" ht="25" x14ac:dyDescent="0.25">
      <c r="A1105" s="20" t="s">
        <v>2445</v>
      </c>
      <c r="B1105" s="11" t="s">
        <v>643</v>
      </c>
      <c r="C1105" s="6" t="s">
        <v>2440</v>
      </c>
      <c r="D1105" s="6" t="s">
        <v>2391</v>
      </c>
      <c r="E1105" s="6" t="s">
        <v>1137</v>
      </c>
      <c r="F1105" s="6" t="s">
        <v>2424</v>
      </c>
      <c r="G1105" s="15" t="str" cm="1">
        <f t="array" ref="G1105">MultiMatchPrefix(Table_Data[[#This Row],[D ID]],Table_Mappings[Data ID],0,"",TRUE,";
")</f>
        <v/>
      </c>
      <c r="I1105" s="19" t="s">
        <v>2632</v>
      </c>
      <c r="J1105" s="19" t="s">
        <v>2633</v>
      </c>
      <c r="K1105" s="19" t="s">
        <v>2633</v>
      </c>
      <c r="L1105" s="19" t="s">
        <v>2634</v>
      </c>
      <c r="M1105" s="19" t="s">
        <v>2684</v>
      </c>
      <c r="N1105" s="181">
        <v>100</v>
      </c>
    </row>
    <row r="1106" spans="1:14" ht="25" x14ac:dyDescent="0.25">
      <c r="A1106" s="20" t="s">
        <v>2446</v>
      </c>
      <c r="B1106" s="11" t="s">
        <v>640</v>
      </c>
      <c r="C1106" s="6" t="s">
        <v>2440</v>
      </c>
      <c r="D1106" s="6" t="s">
        <v>64</v>
      </c>
      <c r="E1106" s="17"/>
      <c r="F1106" s="6" t="s">
        <v>81</v>
      </c>
      <c r="G1106" s="15" t="str" cm="1">
        <f t="array" ref="G1106">MultiMatchPrefix(Table_Data[[#This Row],[D ID]],Table_Mappings[Data ID],0,"",TRUE,";
")</f>
        <v/>
      </c>
    </row>
    <row r="1107" spans="1:14" ht="25" x14ac:dyDescent="0.25">
      <c r="A1107" s="20" t="s">
        <v>2447</v>
      </c>
      <c r="B1107" s="11" t="s">
        <v>643</v>
      </c>
      <c r="C1107" s="6" t="s">
        <v>2440</v>
      </c>
      <c r="D1107" s="6" t="s">
        <v>64</v>
      </c>
      <c r="E1107" s="6" t="s">
        <v>1756</v>
      </c>
      <c r="F1107" s="6" t="s">
        <v>2315</v>
      </c>
      <c r="G1107" s="15" t="str" cm="1">
        <f t="array" ref="G1107">MultiMatchPrefix(Table_Data[[#This Row],[D ID]],Table_Mappings[Data ID],0,"",TRUE,";
")</f>
        <v/>
      </c>
    </row>
    <row r="1108" spans="1:14" ht="25" x14ac:dyDescent="0.25">
      <c r="A1108" s="20" t="s">
        <v>2448</v>
      </c>
      <c r="B1108" s="11" t="s">
        <v>643</v>
      </c>
      <c r="C1108" s="6" t="s">
        <v>2440</v>
      </c>
      <c r="D1108" s="6" t="s">
        <v>64</v>
      </c>
      <c r="E1108" s="6" t="s">
        <v>1759</v>
      </c>
      <c r="F1108" s="6" t="s">
        <v>2315</v>
      </c>
      <c r="G1108" s="15" t="str" cm="1">
        <f t="array" ref="G1108">MultiMatchPrefix(Table_Data[[#This Row],[D ID]],Table_Mappings[Data ID],0,"",TRUE,";
")</f>
        <v/>
      </c>
    </row>
    <row r="1109" spans="1:14" ht="25" x14ac:dyDescent="0.25">
      <c r="A1109" s="20" t="s">
        <v>2449</v>
      </c>
      <c r="B1109" s="11" t="s">
        <v>640</v>
      </c>
      <c r="C1109" s="6" t="s">
        <v>2440</v>
      </c>
      <c r="D1109" s="6" t="s">
        <v>2450</v>
      </c>
      <c r="E1109" s="17"/>
      <c r="F1109" s="6" t="s">
        <v>2451</v>
      </c>
      <c r="G1109" s="15" t="str" cm="1">
        <f t="array" ref="G1109">MultiMatchPrefix(Table_Data[[#This Row],[D ID]],Table_Mappings[Data ID],0,"",TRUE,";
")</f>
        <v/>
      </c>
    </row>
    <row r="1110" spans="1:14" ht="25" x14ac:dyDescent="0.25">
      <c r="A1110" s="20" t="s">
        <v>2452</v>
      </c>
      <c r="B1110" s="11" t="s">
        <v>643</v>
      </c>
      <c r="C1110" s="6" t="s">
        <v>2440</v>
      </c>
      <c r="D1110" s="6" t="s">
        <v>2450</v>
      </c>
      <c r="E1110" s="6" t="s">
        <v>2035</v>
      </c>
      <c r="F1110" s="6" t="s">
        <v>81</v>
      </c>
      <c r="G1110" s="15" t="str" cm="1">
        <f t="array" ref="G1110">MultiMatchPrefix(Table_Data[[#This Row],[D ID]],Table_Mappings[Data ID],0,"",TRUE,";
")</f>
        <v/>
      </c>
    </row>
    <row r="1111" spans="1:14" ht="25" x14ac:dyDescent="0.25">
      <c r="A1111" s="20" t="s">
        <v>2453</v>
      </c>
      <c r="B1111" s="11" t="s">
        <v>643</v>
      </c>
      <c r="C1111" s="6" t="s">
        <v>2440</v>
      </c>
      <c r="D1111" s="6" t="s">
        <v>2450</v>
      </c>
      <c r="E1111" s="6" t="s">
        <v>650</v>
      </c>
      <c r="F1111" s="6" t="s">
        <v>81</v>
      </c>
      <c r="G1111" s="15" t="str" cm="1">
        <f t="array" ref="G1111">MultiMatchPrefix(Table_Data[[#This Row],[D ID]],Table_Mappings[Data ID],0,"",TRUE,";
")</f>
        <v/>
      </c>
    </row>
    <row r="1112" spans="1:14" ht="25" x14ac:dyDescent="0.25">
      <c r="A1112" s="20" t="s">
        <v>2454</v>
      </c>
      <c r="B1112" s="11" t="s">
        <v>643</v>
      </c>
      <c r="C1112" s="6" t="s">
        <v>2440</v>
      </c>
      <c r="D1112" s="6" t="s">
        <v>2450</v>
      </c>
      <c r="E1112" s="6" t="s">
        <v>1220</v>
      </c>
      <c r="F1112" s="6" t="s">
        <v>81</v>
      </c>
      <c r="G1112" s="15" t="str" cm="1">
        <f t="array" ref="G1112">MultiMatchPrefix(Table_Data[[#This Row],[D ID]],Table_Mappings[Data ID],0,"",TRUE,";
")</f>
        <v/>
      </c>
    </row>
    <row r="1113" spans="1:14" ht="25" x14ac:dyDescent="0.25">
      <c r="A1113" s="20" t="s">
        <v>2455</v>
      </c>
      <c r="B1113" s="11" t="s">
        <v>640</v>
      </c>
      <c r="C1113" s="6" t="s">
        <v>2440</v>
      </c>
      <c r="D1113" s="6" t="s">
        <v>2456</v>
      </c>
      <c r="E1113" s="17"/>
      <c r="F1113" s="6" t="s">
        <v>2457</v>
      </c>
      <c r="G1113" s="15" t="str" cm="1">
        <f t="array" ref="G1113">MultiMatchPrefix(Table_Data[[#This Row],[D ID]],Table_Mappings[Data ID],0,"",TRUE,";
")</f>
        <v/>
      </c>
    </row>
    <row r="1114" spans="1:14" ht="25" x14ac:dyDescent="0.25">
      <c r="A1114" s="20" t="s">
        <v>2458</v>
      </c>
      <c r="B1114" s="11" t="s">
        <v>643</v>
      </c>
      <c r="C1114" s="6" t="s">
        <v>2440</v>
      </c>
      <c r="D1114" s="6" t="s">
        <v>2456</v>
      </c>
      <c r="E1114" s="6" t="s">
        <v>644</v>
      </c>
      <c r="F1114" s="6" t="s">
        <v>81</v>
      </c>
      <c r="G1114" s="15" t="str" cm="1">
        <f t="array" ref="G1114">MultiMatchPrefix(Table_Data[[#This Row],[D ID]],Table_Mappings[Data ID],0,"",TRUE,";
")</f>
        <v/>
      </c>
    </row>
    <row r="1115" spans="1:14" ht="25" x14ac:dyDescent="0.25">
      <c r="A1115" s="20" t="s">
        <v>2459</v>
      </c>
      <c r="B1115" s="11" t="s">
        <v>643</v>
      </c>
      <c r="C1115" s="6" t="s">
        <v>2440</v>
      </c>
      <c r="D1115" s="6" t="s">
        <v>2456</v>
      </c>
      <c r="E1115" s="6" t="s">
        <v>650</v>
      </c>
      <c r="F1115" s="6" t="s">
        <v>81</v>
      </c>
      <c r="G1115" s="15" t="str" cm="1">
        <f t="array" ref="G1115">MultiMatchPrefix(Table_Data[[#This Row],[D ID]],Table_Mappings[Data ID],0,"",TRUE,";
")</f>
        <v/>
      </c>
    </row>
    <row r="1116" spans="1:14" ht="25" x14ac:dyDescent="0.25">
      <c r="A1116" s="20" t="s">
        <v>2460</v>
      </c>
      <c r="B1116" s="11" t="s">
        <v>643</v>
      </c>
      <c r="C1116" s="6" t="s">
        <v>2440</v>
      </c>
      <c r="D1116" s="6" t="s">
        <v>2456</v>
      </c>
      <c r="E1116" s="6" t="s">
        <v>2031</v>
      </c>
      <c r="F1116" s="6" t="s">
        <v>81</v>
      </c>
      <c r="G1116" s="15" t="str" cm="1">
        <f t="array" ref="G1116">MultiMatchPrefix(Table_Data[[#This Row],[D ID]],Table_Mappings[Data ID],0,"",TRUE,";
")</f>
        <v/>
      </c>
    </row>
    <row r="1117" spans="1:14" ht="25" x14ac:dyDescent="0.25">
      <c r="A1117" s="20" t="s">
        <v>2461</v>
      </c>
      <c r="B1117" s="11" t="s">
        <v>643</v>
      </c>
      <c r="C1117" s="6" t="s">
        <v>2440</v>
      </c>
      <c r="D1117" s="6" t="s">
        <v>2456</v>
      </c>
      <c r="E1117" s="6" t="s">
        <v>1220</v>
      </c>
      <c r="F1117" s="6" t="s">
        <v>81</v>
      </c>
      <c r="G1117" s="15" t="str" cm="1">
        <f t="array" ref="G1117">MultiMatchPrefix(Table_Data[[#This Row],[D ID]],Table_Mappings[Data ID],0,"",TRUE,";
")</f>
        <v/>
      </c>
    </row>
    <row r="1118" spans="1:14" ht="25" x14ac:dyDescent="0.25">
      <c r="A1118" s="20" t="s">
        <v>604</v>
      </c>
      <c r="B1118" s="11" t="s">
        <v>79</v>
      </c>
      <c r="C1118" s="6" t="s">
        <v>2462</v>
      </c>
      <c r="D1118" s="17"/>
      <c r="E1118" s="17"/>
      <c r="F1118" s="6" t="s">
        <v>2463</v>
      </c>
      <c r="G1118" s="15" t="str" cm="1">
        <f t="array" ref="G1118">MultiMatchPrefix(Table_Data[[#This Row],[D ID]],Table_Mappings[Data ID],0,"",TRUE,";
")</f>
        <v xml:space="preserve">10.05 Donor Reporting;
10.09 Consortium Reporting </v>
      </c>
    </row>
    <row r="1119" spans="1:14" x14ac:dyDescent="0.25">
      <c r="A1119" s="20" t="s">
        <v>2464</v>
      </c>
      <c r="B1119" s="11" t="s">
        <v>640</v>
      </c>
      <c r="C1119" s="6" t="s">
        <v>2462</v>
      </c>
      <c r="D1119" s="6" t="s">
        <v>2371</v>
      </c>
      <c r="E1119" s="17"/>
      <c r="F1119" s="6" t="s">
        <v>81</v>
      </c>
      <c r="G1119" s="15" t="str" cm="1">
        <f t="array" ref="G1119">MultiMatchPrefix(Table_Data[[#This Row],[D ID]],Table_Mappings[Data ID],0,"",TRUE,";
")</f>
        <v/>
      </c>
    </row>
    <row r="1120" spans="1:14" x14ac:dyDescent="0.25">
      <c r="A1120" s="20" t="s">
        <v>2465</v>
      </c>
      <c r="B1120" s="11" t="s">
        <v>643</v>
      </c>
      <c r="C1120" s="6" t="s">
        <v>2462</v>
      </c>
      <c r="D1120" s="6" t="s">
        <v>2371</v>
      </c>
      <c r="E1120" s="6" t="s">
        <v>1137</v>
      </c>
      <c r="F1120" s="6" t="s">
        <v>81</v>
      </c>
      <c r="G1120" s="15" t="str" cm="1">
        <f t="array" ref="G1120">MultiMatchPrefix(Table_Data[[#This Row],[D ID]],Table_Mappings[Data ID],0,"",TRUE,";
")</f>
        <v/>
      </c>
      <c r="I1120" s="19" t="s">
        <v>2632</v>
      </c>
      <c r="J1120" s="19" t="s">
        <v>2633</v>
      </c>
      <c r="K1120" s="19" t="s">
        <v>2633</v>
      </c>
      <c r="L1120" s="19" t="s">
        <v>2634</v>
      </c>
      <c r="M1120" s="19" t="s">
        <v>2684</v>
      </c>
      <c r="N1120" s="181">
        <v>100</v>
      </c>
    </row>
    <row r="1121" spans="1:14" x14ac:dyDescent="0.25">
      <c r="A1121" s="20" t="s">
        <v>2466</v>
      </c>
      <c r="B1121" s="11" t="s">
        <v>643</v>
      </c>
      <c r="C1121" s="6" t="s">
        <v>2462</v>
      </c>
      <c r="D1121" s="6" t="s">
        <v>2371</v>
      </c>
      <c r="E1121" s="6" t="s">
        <v>1272</v>
      </c>
      <c r="F1121" s="6" t="s">
        <v>81</v>
      </c>
      <c r="G1121" s="15" t="str" cm="1">
        <f t="array" ref="G1121">MultiMatchPrefix(Table_Data[[#This Row],[D ID]],Table_Mappings[Data ID],0,"",TRUE,";
")</f>
        <v/>
      </c>
      <c r="I1121" s="19" t="s">
        <v>2632</v>
      </c>
      <c r="J1121" s="19" t="s">
        <v>2633</v>
      </c>
      <c r="K1121" s="19" t="s">
        <v>1216</v>
      </c>
      <c r="L1121" s="19" t="s">
        <v>2614</v>
      </c>
      <c r="N1121" s="181">
        <v>100</v>
      </c>
    </row>
    <row r="1122" spans="1:14" x14ac:dyDescent="0.25">
      <c r="A1122" s="20" t="s">
        <v>2467</v>
      </c>
      <c r="B1122" s="11" t="s">
        <v>643</v>
      </c>
      <c r="C1122" s="6" t="s">
        <v>2462</v>
      </c>
      <c r="D1122" s="6" t="s">
        <v>2371</v>
      </c>
      <c r="E1122" s="6" t="s">
        <v>2221</v>
      </c>
      <c r="F1122" s="6" t="s">
        <v>81</v>
      </c>
      <c r="G1122" s="15" t="str" cm="1">
        <f t="array" ref="G1122">MultiMatchPrefix(Table_Data[[#This Row],[D ID]],Table_Mappings[Data ID],0,"",TRUE,";
")</f>
        <v/>
      </c>
    </row>
    <row r="1123" spans="1:14" x14ac:dyDescent="0.25">
      <c r="A1123" s="20" t="s">
        <v>2468</v>
      </c>
      <c r="B1123" s="11" t="s">
        <v>640</v>
      </c>
      <c r="C1123" s="6" t="s">
        <v>2462</v>
      </c>
      <c r="D1123" s="6" t="s">
        <v>2385</v>
      </c>
      <c r="E1123" s="17"/>
      <c r="F1123" s="6" t="s">
        <v>81</v>
      </c>
      <c r="G1123" s="15" t="str" cm="1">
        <f t="array" ref="G1123">MultiMatchPrefix(Table_Data[[#This Row],[D ID]],Table_Mappings[Data ID],0,"",TRUE,";
")</f>
        <v/>
      </c>
    </row>
    <row r="1124" spans="1:14" ht="25" x14ac:dyDescent="0.25">
      <c r="A1124" s="20" t="s">
        <v>2469</v>
      </c>
      <c r="B1124" s="11" t="s">
        <v>643</v>
      </c>
      <c r="C1124" s="6" t="s">
        <v>2462</v>
      </c>
      <c r="D1124" s="6" t="s">
        <v>2385</v>
      </c>
      <c r="E1124" s="6" t="s">
        <v>2387</v>
      </c>
      <c r="F1124" s="6" t="s">
        <v>81</v>
      </c>
      <c r="G1124" s="15" t="str" cm="1">
        <f t="array" ref="G1124">MultiMatchPrefix(Table_Data[[#This Row],[D ID]],Table_Mappings[Data ID],0,"",TRUE,";
")</f>
        <v/>
      </c>
      <c r="I1124" s="19" t="s">
        <v>2632</v>
      </c>
      <c r="J1124" s="19" t="s">
        <v>2685</v>
      </c>
      <c r="K1124" s="19" t="s">
        <v>2687</v>
      </c>
      <c r="L1124" s="19" t="s">
        <v>2688</v>
      </c>
      <c r="N1124" s="181">
        <v>100</v>
      </c>
    </row>
    <row r="1125" spans="1:14" ht="25" x14ac:dyDescent="0.25">
      <c r="A1125" s="20" t="s">
        <v>2470</v>
      </c>
      <c r="B1125" s="11" t="s">
        <v>643</v>
      </c>
      <c r="C1125" s="6" t="s">
        <v>2462</v>
      </c>
      <c r="D1125" s="6" t="s">
        <v>2385</v>
      </c>
      <c r="E1125" s="6" t="s">
        <v>2389</v>
      </c>
      <c r="F1125" s="6" t="s">
        <v>81</v>
      </c>
      <c r="G1125" s="15" t="str" cm="1">
        <f t="array" ref="G1125">MultiMatchPrefix(Table_Data[[#This Row],[D ID]],Table_Mappings[Data ID],0,"",TRUE,";
")</f>
        <v/>
      </c>
      <c r="I1125" s="19" t="s">
        <v>2632</v>
      </c>
      <c r="J1125" s="19" t="s">
        <v>2685</v>
      </c>
      <c r="K1125" s="19" t="s">
        <v>2690</v>
      </c>
      <c r="L1125" s="19" t="s">
        <v>2691</v>
      </c>
      <c r="N1125" s="181">
        <v>100</v>
      </c>
    </row>
    <row r="1126" spans="1:14" x14ac:dyDescent="0.25">
      <c r="A1126" s="20" t="s">
        <v>2471</v>
      </c>
      <c r="B1126" s="11" t="s">
        <v>640</v>
      </c>
      <c r="C1126" s="6" t="s">
        <v>2462</v>
      </c>
      <c r="D1126" s="6" t="s">
        <v>58</v>
      </c>
      <c r="E1126" s="17"/>
      <c r="F1126" s="6" t="s">
        <v>81</v>
      </c>
      <c r="G1126" s="15" t="str" cm="1">
        <f t="array" ref="G1126">MultiMatchPrefix(Table_Data[[#This Row],[D ID]],Table_Mappings[Data ID],0,"",TRUE,";
")</f>
        <v/>
      </c>
    </row>
    <row r="1127" spans="1:14" ht="26" x14ac:dyDescent="0.25">
      <c r="A1127" s="20" t="s">
        <v>2472</v>
      </c>
      <c r="B1127" s="11" t="s">
        <v>643</v>
      </c>
      <c r="C1127" s="153" t="s">
        <v>2462</v>
      </c>
      <c r="D1127" s="153" t="s">
        <v>58</v>
      </c>
      <c r="E1127" s="153" t="s">
        <v>2417</v>
      </c>
      <c r="F1127" s="6" t="s">
        <v>2418</v>
      </c>
      <c r="G1127" s="15" t="str" cm="1">
        <f t="array" ref="G1127">MultiMatchPrefix(Table_Data[[#This Row],[D ID]],Table_Mappings[Data ID],0,"",TRUE,";
")</f>
        <v/>
      </c>
    </row>
    <row r="1128" spans="1:14" x14ac:dyDescent="0.25">
      <c r="A1128" s="20" t="s">
        <v>2473</v>
      </c>
      <c r="B1128" s="11" t="s">
        <v>640</v>
      </c>
      <c r="C1128" s="6" t="s">
        <v>2462</v>
      </c>
      <c r="D1128" s="6" t="s">
        <v>61</v>
      </c>
      <c r="E1128" s="17"/>
      <c r="F1128" s="6" t="s">
        <v>81</v>
      </c>
      <c r="G1128" s="15" t="str" cm="1">
        <f t="array" ref="G1128">MultiMatchPrefix(Table_Data[[#This Row],[D ID]],Table_Mappings[Data ID],0,"",TRUE,";
")</f>
        <v/>
      </c>
    </row>
    <row r="1129" spans="1:14" ht="26" x14ac:dyDescent="0.25">
      <c r="A1129" s="20" t="s">
        <v>2474</v>
      </c>
      <c r="B1129" s="11" t="s">
        <v>643</v>
      </c>
      <c r="C1129" s="153" t="s">
        <v>2462</v>
      </c>
      <c r="D1129" s="153" t="s">
        <v>61</v>
      </c>
      <c r="E1129" s="153" t="s">
        <v>2421</v>
      </c>
      <c r="F1129" s="6" t="s">
        <v>2418</v>
      </c>
      <c r="G1129" s="15" t="str" cm="1">
        <f t="array" ref="G1129">MultiMatchPrefix(Table_Data[[#This Row],[D ID]],Table_Mappings[Data ID],0,"",TRUE,";
")</f>
        <v/>
      </c>
    </row>
    <row r="1130" spans="1:14" x14ac:dyDescent="0.25">
      <c r="A1130" s="20" t="s">
        <v>2475</v>
      </c>
      <c r="B1130" s="11" t="s">
        <v>640</v>
      </c>
      <c r="C1130" s="6" t="s">
        <v>2462</v>
      </c>
      <c r="D1130" s="6" t="s">
        <v>2391</v>
      </c>
      <c r="E1130" s="17"/>
      <c r="F1130" s="6" t="s">
        <v>81</v>
      </c>
      <c r="G1130" s="15" t="str" cm="1">
        <f t="array" ref="G1130">MultiMatchPrefix(Table_Data[[#This Row],[D ID]],Table_Mappings[Data ID],0,"",TRUE,";
")</f>
        <v/>
      </c>
    </row>
    <row r="1131" spans="1:14" x14ac:dyDescent="0.25">
      <c r="A1131" s="20" t="s">
        <v>2476</v>
      </c>
      <c r="B1131" s="11" t="s">
        <v>643</v>
      </c>
      <c r="C1131" s="6" t="s">
        <v>2462</v>
      </c>
      <c r="D1131" s="6" t="s">
        <v>2391</v>
      </c>
      <c r="E1131" s="6" t="s">
        <v>1137</v>
      </c>
      <c r="F1131" s="6" t="s">
        <v>2424</v>
      </c>
      <c r="G1131" s="15" t="str" cm="1">
        <f t="array" ref="G1131">MultiMatchPrefix(Table_Data[[#This Row],[D ID]],Table_Mappings[Data ID],0,"",TRUE,";
")</f>
        <v/>
      </c>
      <c r="I1131" s="19" t="s">
        <v>2632</v>
      </c>
      <c r="J1131" s="19" t="s">
        <v>2633</v>
      </c>
      <c r="K1131" s="19" t="s">
        <v>2633</v>
      </c>
      <c r="L1131" s="19" t="s">
        <v>2634</v>
      </c>
      <c r="M1131" s="19" t="s">
        <v>2684</v>
      </c>
      <c r="N1131" s="181">
        <v>100</v>
      </c>
    </row>
    <row r="1132" spans="1:14" ht="25" x14ac:dyDescent="0.25">
      <c r="A1132" s="20" t="s">
        <v>606</v>
      </c>
      <c r="B1132" s="11" t="s">
        <v>79</v>
      </c>
      <c r="C1132" s="6" t="s">
        <v>2477</v>
      </c>
      <c r="D1132" s="17"/>
      <c r="E1132" s="17"/>
      <c r="F1132" s="6" t="s">
        <v>2478</v>
      </c>
      <c r="G1132" s="15" t="str" cm="1">
        <f t="array" ref="G1132">MultiMatchPrefix(Table_Data[[#This Row],[D ID]],Table_Mappings[Data ID],0,"",TRUE,";
")</f>
        <v xml:space="preserve">10.05 Donor Reporting;
10.09 Consortium Reporting </v>
      </c>
    </row>
    <row r="1133" spans="1:14" x14ac:dyDescent="0.25">
      <c r="A1133" s="20" t="s">
        <v>2479</v>
      </c>
      <c r="B1133" s="11" t="s">
        <v>640</v>
      </c>
      <c r="C1133" s="6" t="s">
        <v>2477</v>
      </c>
      <c r="D1133" s="6" t="s">
        <v>2371</v>
      </c>
      <c r="E1133" s="17"/>
      <c r="F1133" s="6" t="s">
        <v>81</v>
      </c>
      <c r="G1133" s="15" t="str" cm="1">
        <f t="array" ref="G1133">MultiMatchPrefix(Table_Data[[#This Row],[D ID]],Table_Mappings[Data ID],0,"",TRUE,";
")</f>
        <v/>
      </c>
    </row>
    <row r="1134" spans="1:14" x14ac:dyDescent="0.25">
      <c r="A1134" s="20" t="s">
        <v>2480</v>
      </c>
      <c r="B1134" s="11" t="s">
        <v>643</v>
      </c>
      <c r="C1134" s="6" t="s">
        <v>2477</v>
      </c>
      <c r="D1134" s="6" t="s">
        <v>2371</v>
      </c>
      <c r="E1134" s="6" t="s">
        <v>1137</v>
      </c>
      <c r="F1134" s="6" t="s">
        <v>81</v>
      </c>
      <c r="G1134" s="15" t="str" cm="1">
        <f t="array" ref="G1134">MultiMatchPrefix(Table_Data[[#This Row],[D ID]],Table_Mappings[Data ID],0,"",TRUE,";
")</f>
        <v/>
      </c>
      <c r="I1134" s="19" t="s">
        <v>2632</v>
      </c>
      <c r="J1134" s="19" t="s">
        <v>2633</v>
      </c>
      <c r="K1134" s="19" t="s">
        <v>2633</v>
      </c>
      <c r="L1134" s="19" t="s">
        <v>2634</v>
      </c>
      <c r="M1134" s="19" t="s">
        <v>2684</v>
      </c>
      <c r="N1134" s="181">
        <v>100</v>
      </c>
    </row>
    <row r="1135" spans="1:14" x14ac:dyDescent="0.25">
      <c r="A1135" s="20" t="s">
        <v>2481</v>
      </c>
      <c r="B1135" s="11" t="s">
        <v>643</v>
      </c>
      <c r="C1135" s="6" t="s">
        <v>2477</v>
      </c>
      <c r="D1135" s="6" t="s">
        <v>2371</v>
      </c>
      <c r="E1135" s="6" t="s">
        <v>1272</v>
      </c>
      <c r="F1135" s="6" t="s">
        <v>81</v>
      </c>
      <c r="G1135" s="15" t="str" cm="1">
        <f t="array" ref="G1135">MultiMatchPrefix(Table_Data[[#This Row],[D ID]],Table_Mappings[Data ID],0,"",TRUE,";
")</f>
        <v/>
      </c>
      <c r="I1135" s="19" t="s">
        <v>2632</v>
      </c>
      <c r="J1135" s="19" t="s">
        <v>2633</v>
      </c>
      <c r="K1135" s="19" t="s">
        <v>1216</v>
      </c>
      <c r="L1135" s="19" t="s">
        <v>2614</v>
      </c>
      <c r="N1135" s="181">
        <v>100</v>
      </c>
    </row>
    <row r="1136" spans="1:14" x14ac:dyDescent="0.25">
      <c r="A1136" s="20" t="s">
        <v>2482</v>
      </c>
      <c r="B1136" s="11" t="s">
        <v>643</v>
      </c>
      <c r="C1136" s="6" t="s">
        <v>2477</v>
      </c>
      <c r="D1136" s="6" t="s">
        <v>2371</v>
      </c>
      <c r="E1136" s="6" t="s">
        <v>2221</v>
      </c>
      <c r="F1136" s="6" t="s">
        <v>81</v>
      </c>
      <c r="G1136" s="15" t="str" cm="1">
        <f t="array" ref="G1136">MultiMatchPrefix(Table_Data[[#This Row],[D ID]],Table_Mappings[Data ID],0,"",TRUE,";
")</f>
        <v/>
      </c>
    </row>
    <row r="1137" spans="1:14" x14ac:dyDescent="0.25">
      <c r="A1137" s="20" t="s">
        <v>2483</v>
      </c>
      <c r="B1137" s="11" t="s">
        <v>640</v>
      </c>
      <c r="C1137" s="6" t="s">
        <v>2477</v>
      </c>
      <c r="D1137" s="6" t="s">
        <v>2385</v>
      </c>
      <c r="E1137" s="17"/>
      <c r="F1137" s="6" t="s">
        <v>81</v>
      </c>
      <c r="G1137" s="15" t="str" cm="1">
        <f t="array" ref="G1137">MultiMatchPrefix(Table_Data[[#This Row],[D ID]],Table_Mappings[Data ID],0,"",TRUE,";
")</f>
        <v/>
      </c>
    </row>
    <row r="1138" spans="1:14" ht="25" x14ac:dyDescent="0.25">
      <c r="A1138" s="20" t="s">
        <v>2484</v>
      </c>
      <c r="B1138" s="11" t="s">
        <v>643</v>
      </c>
      <c r="C1138" s="6" t="s">
        <v>2477</v>
      </c>
      <c r="D1138" s="6" t="s">
        <v>2385</v>
      </c>
      <c r="E1138" s="6" t="s">
        <v>2387</v>
      </c>
      <c r="F1138" s="6" t="s">
        <v>81</v>
      </c>
      <c r="G1138" s="15" t="str" cm="1">
        <f t="array" ref="G1138">MultiMatchPrefix(Table_Data[[#This Row],[D ID]],Table_Mappings[Data ID],0,"",TRUE,";
")</f>
        <v/>
      </c>
      <c r="I1138" s="19" t="s">
        <v>2632</v>
      </c>
      <c r="J1138" s="19" t="s">
        <v>2685</v>
      </c>
      <c r="K1138" s="19" t="s">
        <v>2687</v>
      </c>
      <c r="L1138" s="19" t="s">
        <v>2688</v>
      </c>
      <c r="N1138" s="181">
        <v>100</v>
      </c>
    </row>
    <row r="1139" spans="1:14" ht="25" x14ac:dyDescent="0.25">
      <c r="A1139" s="20" t="s">
        <v>2485</v>
      </c>
      <c r="B1139" s="11" t="s">
        <v>643</v>
      </c>
      <c r="C1139" s="6" t="s">
        <v>2477</v>
      </c>
      <c r="D1139" s="6" t="s">
        <v>2385</v>
      </c>
      <c r="E1139" s="6" t="s">
        <v>2389</v>
      </c>
      <c r="F1139" s="6" t="s">
        <v>81</v>
      </c>
      <c r="G1139" s="15" t="str" cm="1">
        <f t="array" ref="G1139">MultiMatchPrefix(Table_Data[[#This Row],[D ID]],Table_Mappings[Data ID],0,"",TRUE,";
")</f>
        <v/>
      </c>
      <c r="I1139" s="19" t="s">
        <v>2632</v>
      </c>
      <c r="J1139" s="19" t="s">
        <v>2685</v>
      </c>
      <c r="K1139" s="19" t="s">
        <v>2690</v>
      </c>
      <c r="L1139" s="19" t="s">
        <v>2691</v>
      </c>
      <c r="N1139" s="181">
        <v>100</v>
      </c>
    </row>
    <row r="1140" spans="1:14" x14ac:dyDescent="0.25">
      <c r="A1140" s="20" t="s">
        <v>2486</v>
      </c>
      <c r="B1140" s="11" t="s">
        <v>640</v>
      </c>
      <c r="C1140" s="6" t="s">
        <v>2477</v>
      </c>
      <c r="D1140" s="6" t="s">
        <v>61</v>
      </c>
      <c r="E1140" s="17"/>
      <c r="F1140" s="6" t="s">
        <v>81</v>
      </c>
      <c r="G1140" s="15" t="str" cm="1">
        <f t="array" ref="G1140">MultiMatchPrefix(Table_Data[[#This Row],[D ID]],Table_Mappings[Data ID],0,"",TRUE,";
")</f>
        <v/>
      </c>
    </row>
    <row r="1141" spans="1:14" ht="13" x14ac:dyDescent="0.25">
      <c r="A1141" s="20" t="s">
        <v>2487</v>
      </c>
      <c r="B1141" s="11" t="s">
        <v>643</v>
      </c>
      <c r="C1141" s="153" t="s">
        <v>2477</v>
      </c>
      <c r="D1141" s="153" t="s">
        <v>61</v>
      </c>
      <c r="E1141" s="153" t="s">
        <v>2421</v>
      </c>
      <c r="F1141" s="6" t="s">
        <v>2418</v>
      </c>
      <c r="G1141" s="15" t="str" cm="1">
        <f t="array" ref="G1141">MultiMatchPrefix(Table_Data[[#This Row],[D ID]],Table_Mappings[Data ID],0,"",TRUE,";
")</f>
        <v/>
      </c>
    </row>
    <row r="1142" spans="1:14" x14ac:dyDescent="0.25">
      <c r="A1142" s="20" t="s">
        <v>2488</v>
      </c>
      <c r="B1142" s="11" t="s">
        <v>640</v>
      </c>
      <c r="C1142" s="6" t="s">
        <v>2477</v>
      </c>
      <c r="D1142" s="6" t="s">
        <v>2391</v>
      </c>
      <c r="E1142" s="17"/>
      <c r="F1142" s="6" t="s">
        <v>81</v>
      </c>
      <c r="G1142" s="15" t="str" cm="1">
        <f t="array" ref="G1142">MultiMatchPrefix(Table_Data[[#This Row],[D ID]],Table_Mappings[Data ID],0,"",TRUE,";
")</f>
        <v/>
      </c>
    </row>
    <row r="1143" spans="1:14" x14ac:dyDescent="0.25">
      <c r="A1143" s="20" t="s">
        <v>2489</v>
      </c>
      <c r="B1143" s="11" t="s">
        <v>643</v>
      </c>
      <c r="C1143" s="6" t="s">
        <v>2477</v>
      </c>
      <c r="D1143" s="6" t="s">
        <v>2391</v>
      </c>
      <c r="E1143" s="6" t="s">
        <v>1137</v>
      </c>
      <c r="F1143" s="6" t="s">
        <v>2424</v>
      </c>
      <c r="G1143" s="15" t="str" cm="1">
        <f t="array" ref="G1143">MultiMatchPrefix(Table_Data[[#This Row],[D ID]],Table_Mappings[Data ID],0,"",TRUE,";
")</f>
        <v/>
      </c>
      <c r="I1143" s="19" t="s">
        <v>2632</v>
      </c>
      <c r="J1143" s="19" t="s">
        <v>2633</v>
      </c>
      <c r="K1143" s="19" t="s">
        <v>2633</v>
      </c>
      <c r="L1143" s="19" t="s">
        <v>2634</v>
      </c>
      <c r="M1143" s="19" t="s">
        <v>2684</v>
      </c>
      <c r="N1143" s="181">
        <v>100</v>
      </c>
    </row>
    <row r="1144" spans="1:14" x14ac:dyDescent="0.25">
      <c r="A1144" s="20" t="s">
        <v>2490</v>
      </c>
      <c r="B1144" s="11" t="s">
        <v>640</v>
      </c>
      <c r="C1144" s="6" t="s">
        <v>2477</v>
      </c>
      <c r="D1144" s="6" t="s">
        <v>64</v>
      </c>
      <c r="E1144" s="17"/>
      <c r="F1144" s="6" t="s">
        <v>81</v>
      </c>
      <c r="G1144" s="15" t="str" cm="1">
        <f t="array" ref="G1144">MultiMatchPrefix(Table_Data[[#This Row],[D ID]],Table_Mappings[Data ID],0,"",TRUE,";
")</f>
        <v/>
      </c>
    </row>
    <row r="1145" spans="1:14" x14ac:dyDescent="0.25">
      <c r="A1145" s="20" t="s">
        <v>2491</v>
      </c>
      <c r="B1145" s="11" t="s">
        <v>643</v>
      </c>
      <c r="C1145" s="6" t="s">
        <v>2477</v>
      </c>
      <c r="D1145" s="6" t="s">
        <v>64</v>
      </c>
      <c r="E1145" s="6" t="s">
        <v>1756</v>
      </c>
      <c r="F1145" s="6" t="s">
        <v>2315</v>
      </c>
      <c r="G1145" s="15" t="str" cm="1">
        <f t="array" ref="G1145">MultiMatchPrefix(Table_Data[[#This Row],[D ID]],Table_Mappings[Data ID],0,"",TRUE,";
")</f>
        <v/>
      </c>
    </row>
    <row r="1146" spans="1:14" x14ac:dyDescent="0.25">
      <c r="A1146" s="20" t="s">
        <v>2492</v>
      </c>
      <c r="B1146" s="11" t="s">
        <v>643</v>
      </c>
      <c r="C1146" s="6" t="s">
        <v>2477</v>
      </c>
      <c r="D1146" s="6" t="s">
        <v>64</v>
      </c>
      <c r="E1146" s="6" t="s">
        <v>1759</v>
      </c>
      <c r="F1146" s="6" t="s">
        <v>2315</v>
      </c>
      <c r="G1146" s="15" t="str" cm="1">
        <f t="array" ref="G1146">MultiMatchPrefix(Table_Data[[#This Row],[D ID]],Table_Mappings[Data ID],0,"",TRUE,";
")</f>
        <v/>
      </c>
    </row>
    <row r="1147" spans="1:14" x14ac:dyDescent="0.25">
      <c r="A1147" s="20" t="s">
        <v>2493</v>
      </c>
      <c r="B1147" s="11" t="s">
        <v>640</v>
      </c>
      <c r="C1147" s="6" t="s">
        <v>2477</v>
      </c>
      <c r="D1147" s="6" t="s">
        <v>2435</v>
      </c>
      <c r="E1147" s="17"/>
      <c r="F1147" s="6" t="s">
        <v>81</v>
      </c>
      <c r="G1147" s="15" t="str" cm="1">
        <f t="array" ref="G1147">MultiMatchPrefix(Table_Data[[#This Row],[D ID]],Table_Mappings[Data ID],0,"",TRUE,";
")</f>
        <v/>
      </c>
    </row>
    <row r="1148" spans="1:14" x14ac:dyDescent="0.25">
      <c r="A1148" s="20" t="s">
        <v>2494</v>
      </c>
      <c r="B1148" s="11" t="s">
        <v>643</v>
      </c>
      <c r="C1148" s="6" t="s">
        <v>2477</v>
      </c>
      <c r="D1148" s="6" t="s">
        <v>2435</v>
      </c>
      <c r="E1148" s="6" t="s">
        <v>650</v>
      </c>
      <c r="F1148" s="6" t="s">
        <v>81</v>
      </c>
      <c r="G1148" s="15" t="str" cm="1">
        <f t="array" ref="G1148">MultiMatchPrefix(Table_Data[[#This Row],[D ID]],Table_Mappings[Data ID],0,"",TRUE,";
")</f>
        <v/>
      </c>
    </row>
    <row r="1149" spans="1:14" x14ac:dyDescent="0.25">
      <c r="A1149" s="20" t="s">
        <v>2495</v>
      </c>
      <c r="B1149" s="11" t="s">
        <v>643</v>
      </c>
      <c r="C1149" s="6" t="s">
        <v>2477</v>
      </c>
      <c r="D1149" s="6" t="s">
        <v>2435</v>
      </c>
      <c r="E1149" s="6" t="s">
        <v>2439</v>
      </c>
      <c r="F1149" s="6" t="s">
        <v>81</v>
      </c>
      <c r="G1149" s="15" t="str" cm="1">
        <f t="array" ref="G1149">MultiMatchPrefix(Table_Data[[#This Row],[D ID]],Table_Mappings[Data ID],0,"",TRUE,";
")</f>
        <v/>
      </c>
    </row>
    <row r="1150" spans="1:14" ht="25" x14ac:dyDescent="0.25">
      <c r="A1150" s="20" t="s">
        <v>608</v>
      </c>
      <c r="B1150" s="11" t="s">
        <v>79</v>
      </c>
      <c r="C1150" s="6" t="s">
        <v>2496</v>
      </c>
      <c r="D1150" s="17"/>
      <c r="E1150" s="17"/>
      <c r="F1150" s="6" t="s">
        <v>2497</v>
      </c>
      <c r="G1150" s="15" t="str" cm="1">
        <f t="array" ref="G1150">MultiMatchPrefix(Table_Data[[#This Row],[D ID]],Table_Mappings[Data ID],0,"",TRUE,";
")</f>
        <v xml:space="preserve">10.05 Donor Reporting;
10.09 Consortium Reporting </v>
      </c>
    </row>
    <row r="1151" spans="1:14" x14ac:dyDescent="0.25">
      <c r="A1151" s="20" t="s">
        <v>2498</v>
      </c>
      <c r="B1151" s="11" t="s">
        <v>640</v>
      </c>
      <c r="C1151" s="6" t="s">
        <v>2496</v>
      </c>
      <c r="D1151" s="6" t="s">
        <v>2371</v>
      </c>
      <c r="E1151" s="17"/>
      <c r="F1151" s="6" t="s">
        <v>81</v>
      </c>
      <c r="G1151" s="15" t="str" cm="1">
        <f t="array" ref="G1151">MultiMatchPrefix(Table_Data[[#This Row],[D ID]],Table_Mappings[Data ID],0,"",TRUE,";
")</f>
        <v/>
      </c>
    </row>
    <row r="1152" spans="1:14" x14ac:dyDescent="0.25">
      <c r="A1152" s="20" t="s">
        <v>2499</v>
      </c>
      <c r="B1152" s="11" t="s">
        <v>643</v>
      </c>
      <c r="C1152" s="6" t="s">
        <v>2496</v>
      </c>
      <c r="D1152" s="6" t="s">
        <v>2371</v>
      </c>
      <c r="E1152" s="6" t="s">
        <v>1137</v>
      </c>
      <c r="F1152" s="6" t="s">
        <v>81</v>
      </c>
      <c r="G1152" s="15" t="str" cm="1">
        <f t="array" ref="G1152">MultiMatchPrefix(Table_Data[[#This Row],[D ID]],Table_Mappings[Data ID],0,"",TRUE,";
")</f>
        <v/>
      </c>
      <c r="I1152" s="19" t="s">
        <v>2632</v>
      </c>
      <c r="J1152" s="19" t="s">
        <v>2633</v>
      </c>
      <c r="K1152" s="19" t="s">
        <v>2633</v>
      </c>
      <c r="L1152" s="19" t="s">
        <v>2634</v>
      </c>
      <c r="M1152" s="19" t="s">
        <v>2684</v>
      </c>
      <c r="N1152" s="181">
        <v>100</v>
      </c>
    </row>
    <row r="1153" spans="1:14" x14ac:dyDescent="0.25">
      <c r="A1153" s="20" t="s">
        <v>2500</v>
      </c>
      <c r="B1153" s="11" t="s">
        <v>643</v>
      </c>
      <c r="C1153" s="6" t="s">
        <v>2496</v>
      </c>
      <c r="D1153" s="6" t="s">
        <v>2371</v>
      </c>
      <c r="E1153" s="6" t="s">
        <v>1272</v>
      </c>
      <c r="F1153" s="6" t="s">
        <v>81</v>
      </c>
      <c r="G1153" s="15" t="str" cm="1">
        <f t="array" ref="G1153">MultiMatchPrefix(Table_Data[[#This Row],[D ID]],Table_Mappings[Data ID],0,"",TRUE,";
")</f>
        <v/>
      </c>
      <c r="I1153" s="19" t="s">
        <v>2632</v>
      </c>
      <c r="J1153" s="19" t="s">
        <v>2633</v>
      </c>
      <c r="K1153" s="19" t="s">
        <v>1216</v>
      </c>
      <c r="L1153" s="19" t="s">
        <v>2614</v>
      </c>
      <c r="N1153" s="181">
        <v>100</v>
      </c>
    </row>
    <row r="1154" spans="1:14" x14ac:dyDescent="0.25">
      <c r="A1154" s="20" t="s">
        <v>2501</v>
      </c>
      <c r="B1154" s="11" t="s">
        <v>643</v>
      </c>
      <c r="C1154" s="6" t="s">
        <v>2496</v>
      </c>
      <c r="D1154" s="6" t="s">
        <v>2371</v>
      </c>
      <c r="E1154" s="6" t="s">
        <v>2221</v>
      </c>
      <c r="F1154" s="6" t="s">
        <v>81</v>
      </c>
      <c r="G1154" s="15" t="str" cm="1">
        <f t="array" ref="G1154">MultiMatchPrefix(Table_Data[[#This Row],[D ID]],Table_Mappings[Data ID],0,"",TRUE,";
")</f>
        <v/>
      </c>
    </row>
    <row r="1155" spans="1:14" x14ac:dyDescent="0.25">
      <c r="A1155" s="20" t="s">
        <v>2502</v>
      </c>
      <c r="B1155" s="11" t="s">
        <v>640</v>
      </c>
      <c r="C1155" s="6" t="s">
        <v>2496</v>
      </c>
      <c r="D1155" s="6" t="s">
        <v>2385</v>
      </c>
      <c r="E1155" s="17"/>
      <c r="F1155" s="6" t="s">
        <v>81</v>
      </c>
      <c r="G1155" s="15" t="str" cm="1">
        <f t="array" ref="G1155">MultiMatchPrefix(Table_Data[[#This Row],[D ID]],Table_Mappings[Data ID],0,"",TRUE,";
")</f>
        <v/>
      </c>
    </row>
    <row r="1156" spans="1:14" ht="25" x14ac:dyDescent="0.25">
      <c r="A1156" s="20" t="s">
        <v>2503</v>
      </c>
      <c r="B1156" s="11" t="s">
        <v>643</v>
      </c>
      <c r="C1156" s="6" t="s">
        <v>2496</v>
      </c>
      <c r="D1156" s="6" t="s">
        <v>2385</v>
      </c>
      <c r="E1156" s="6" t="s">
        <v>2387</v>
      </c>
      <c r="F1156" s="6" t="s">
        <v>81</v>
      </c>
      <c r="G1156" s="15" t="str" cm="1">
        <f t="array" ref="G1156">MultiMatchPrefix(Table_Data[[#This Row],[D ID]],Table_Mappings[Data ID],0,"",TRUE,";
")</f>
        <v/>
      </c>
      <c r="I1156" s="19" t="s">
        <v>2632</v>
      </c>
      <c r="J1156" s="19" t="s">
        <v>2685</v>
      </c>
      <c r="K1156" s="19" t="s">
        <v>2687</v>
      </c>
      <c r="L1156" s="19" t="s">
        <v>2688</v>
      </c>
      <c r="N1156" s="181">
        <v>100</v>
      </c>
    </row>
    <row r="1157" spans="1:14" ht="25" x14ac:dyDescent="0.25">
      <c r="A1157" s="20" t="s">
        <v>2504</v>
      </c>
      <c r="B1157" s="11" t="s">
        <v>643</v>
      </c>
      <c r="C1157" s="6" t="s">
        <v>2496</v>
      </c>
      <c r="D1157" s="6" t="s">
        <v>2385</v>
      </c>
      <c r="E1157" s="6" t="s">
        <v>2389</v>
      </c>
      <c r="F1157" s="6" t="s">
        <v>81</v>
      </c>
      <c r="G1157" s="15" t="str" cm="1">
        <f t="array" ref="G1157">MultiMatchPrefix(Table_Data[[#This Row],[D ID]],Table_Mappings[Data ID],0,"",TRUE,";
")</f>
        <v/>
      </c>
      <c r="I1157" s="19" t="s">
        <v>2632</v>
      </c>
      <c r="J1157" s="19" t="s">
        <v>2685</v>
      </c>
      <c r="K1157" s="19" t="s">
        <v>2690</v>
      </c>
      <c r="L1157" s="19" t="s">
        <v>2691</v>
      </c>
      <c r="N1157" s="181">
        <v>100</v>
      </c>
    </row>
    <row r="1158" spans="1:14" x14ac:dyDescent="0.25">
      <c r="A1158" s="20" t="s">
        <v>2505</v>
      </c>
      <c r="B1158" s="11" t="s">
        <v>640</v>
      </c>
      <c r="C1158" s="6" t="s">
        <v>2496</v>
      </c>
      <c r="D1158" s="6" t="s">
        <v>61</v>
      </c>
      <c r="E1158" s="17"/>
      <c r="F1158" s="6" t="s">
        <v>81</v>
      </c>
      <c r="G1158" s="15" t="str" cm="1">
        <f t="array" ref="G1158">MultiMatchPrefix(Table_Data[[#This Row],[D ID]],Table_Mappings[Data ID],0,"",TRUE,";
")</f>
        <v/>
      </c>
    </row>
    <row r="1159" spans="1:14" ht="13" x14ac:dyDescent="0.25">
      <c r="A1159" s="20" t="s">
        <v>2506</v>
      </c>
      <c r="B1159" s="11" t="s">
        <v>643</v>
      </c>
      <c r="C1159" s="153" t="s">
        <v>2496</v>
      </c>
      <c r="D1159" s="153" t="s">
        <v>61</v>
      </c>
      <c r="E1159" s="153" t="s">
        <v>2421</v>
      </c>
      <c r="F1159" s="6" t="s">
        <v>2418</v>
      </c>
      <c r="G1159" s="15" t="str" cm="1">
        <f t="array" ref="G1159">MultiMatchPrefix(Table_Data[[#This Row],[D ID]],Table_Mappings[Data ID],0,"",TRUE,";
")</f>
        <v/>
      </c>
    </row>
    <row r="1160" spans="1:14" x14ac:dyDescent="0.25">
      <c r="A1160" s="20" t="s">
        <v>2507</v>
      </c>
      <c r="B1160" s="11" t="s">
        <v>640</v>
      </c>
      <c r="C1160" s="6" t="s">
        <v>2496</v>
      </c>
      <c r="D1160" s="6" t="s">
        <v>2391</v>
      </c>
      <c r="E1160" s="17"/>
      <c r="F1160" s="6" t="s">
        <v>81</v>
      </c>
      <c r="G1160" s="15" t="str" cm="1">
        <f t="array" ref="G1160">MultiMatchPrefix(Table_Data[[#This Row],[D ID]],Table_Mappings[Data ID],0,"",TRUE,";
")</f>
        <v/>
      </c>
    </row>
    <row r="1161" spans="1:14" x14ac:dyDescent="0.25">
      <c r="A1161" s="20" t="s">
        <v>2508</v>
      </c>
      <c r="B1161" s="11" t="s">
        <v>643</v>
      </c>
      <c r="C1161" s="6" t="s">
        <v>2496</v>
      </c>
      <c r="D1161" s="6" t="s">
        <v>2391</v>
      </c>
      <c r="E1161" s="6" t="s">
        <v>1137</v>
      </c>
      <c r="F1161" s="6" t="s">
        <v>2424</v>
      </c>
      <c r="G1161" s="15" t="str" cm="1">
        <f t="array" ref="G1161">MultiMatchPrefix(Table_Data[[#This Row],[D ID]],Table_Mappings[Data ID],0,"",TRUE,";
")</f>
        <v/>
      </c>
      <c r="I1161" s="19" t="s">
        <v>2632</v>
      </c>
      <c r="J1161" s="19" t="s">
        <v>2633</v>
      </c>
      <c r="K1161" s="19" t="s">
        <v>2633</v>
      </c>
      <c r="L1161" s="19" t="s">
        <v>2634</v>
      </c>
      <c r="M1161" s="19" t="s">
        <v>2684</v>
      </c>
      <c r="N1161" s="181">
        <v>100</v>
      </c>
    </row>
    <row r="1162" spans="1:14" x14ac:dyDescent="0.25">
      <c r="A1162" s="20" t="s">
        <v>2509</v>
      </c>
      <c r="B1162" s="11" t="s">
        <v>640</v>
      </c>
      <c r="C1162" s="6" t="s">
        <v>2496</v>
      </c>
      <c r="D1162" s="6" t="s">
        <v>64</v>
      </c>
      <c r="E1162" s="17"/>
      <c r="F1162" s="6" t="s">
        <v>81</v>
      </c>
      <c r="G1162" s="15" t="str" cm="1">
        <f t="array" ref="G1162">MultiMatchPrefix(Table_Data[[#This Row],[D ID]],Table_Mappings[Data ID],0,"",TRUE,";
")</f>
        <v/>
      </c>
    </row>
    <row r="1163" spans="1:14" x14ac:dyDescent="0.25">
      <c r="A1163" s="20" t="s">
        <v>2510</v>
      </c>
      <c r="B1163" s="11" t="s">
        <v>643</v>
      </c>
      <c r="C1163" s="6" t="s">
        <v>2496</v>
      </c>
      <c r="D1163" s="6" t="s">
        <v>64</v>
      </c>
      <c r="E1163" s="6" t="s">
        <v>1756</v>
      </c>
      <c r="F1163" s="6" t="s">
        <v>2315</v>
      </c>
      <c r="G1163" s="15" t="str" cm="1">
        <f t="array" ref="G1163">MultiMatchPrefix(Table_Data[[#This Row],[D ID]],Table_Mappings[Data ID],0,"",TRUE,";
")</f>
        <v/>
      </c>
    </row>
    <row r="1164" spans="1:14" x14ac:dyDescent="0.25">
      <c r="A1164" s="20" t="s">
        <v>2511</v>
      </c>
      <c r="B1164" s="11" t="s">
        <v>643</v>
      </c>
      <c r="C1164" s="6" t="s">
        <v>2496</v>
      </c>
      <c r="D1164" s="6" t="s">
        <v>64</v>
      </c>
      <c r="E1164" s="6" t="s">
        <v>1759</v>
      </c>
      <c r="F1164" s="6" t="s">
        <v>2315</v>
      </c>
      <c r="G1164" s="15" t="str" cm="1">
        <f t="array" ref="G1164">MultiMatchPrefix(Table_Data[[#This Row],[D ID]],Table_Mappings[Data ID],0,"",TRUE,";
")</f>
        <v/>
      </c>
    </row>
    <row r="1165" spans="1:14" x14ac:dyDescent="0.25">
      <c r="A1165" s="20" t="s">
        <v>2512</v>
      </c>
      <c r="B1165" s="11" t="s">
        <v>640</v>
      </c>
      <c r="C1165" s="6" t="s">
        <v>2496</v>
      </c>
      <c r="D1165" s="6" t="s">
        <v>2450</v>
      </c>
      <c r="E1165" s="17"/>
      <c r="F1165" s="6" t="s">
        <v>2451</v>
      </c>
      <c r="G1165" s="15" t="str" cm="1">
        <f t="array" ref="G1165">MultiMatchPrefix(Table_Data[[#This Row],[D ID]],Table_Mappings[Data ID],0,"",TRUE,";
")</f>
        <v/>
      </c>
    </row>
    <row r="1166" spans="1:14" x14ac:dyDescent="0.25">
      <c r="A1166" s="20" t="s">
        <v>2513</v>
      </c>
      <c r="B1166" s="11" t="s">
        <v>643</v>
      </c>
      <c r="C1166" s="6" t="s">
        <v>2496</v>
      </c>
      <c r="D1166" s="6" t="s">
        <v>2450</v>
      </c>
      <c r="E1166" s="6" t="s">
        <v>2035</v>
      </c>
      <c r="F1166" s="6" t="s">
        <v>81</v>
      </c>
      <c r="G1166" s="15" t="str" cm="1">
        <f t="array" ref="G1166">MultiMatchPrefix(Table_Data[[#This Row],[D ID]],Table_Mappings[Data ID],0,"",TRUE,";
")</f>
        <v/>
      </c>
    </row>
    <row r="1167" spans="1:14" x14ac:dyDescent="0.25">
      <c r="A1167" s="20" t="s">
        <v>2514</v>
      </c>
      <c r="B1167" s="11" t="s">
        <v>643</v>
      </c>
      <c r="C1167" s="6" t="s">
        <v>2496</v>
      </c>
      <c r="D1167" s="6" t="s">
        <v>2450</v>
      </c>
      <c r="E1167" s="6" t="s">
        <v>650</v>
      </c>
      <c r="F1167" s="6" t="s">
        <v>81</v>
      </c>
      <c r="G1167" s="15" t="str" cm="1">
        <f t="array" ref="G1167">MultiMatchPrefix(Table_Data[[#This Row],[D ID]],Table_Mappings[Data ID],0,"",TRUE,";
")</f>
        <v/>
      </c>
    </row>
    <row r="1168" spans="1:14" x14ac:dyDescent="0.25">
      <c r="A1168" s="20" t="s">
        <v>2515</v>
      </c>
      <c r="B1168" s="11" t="s">
        <v>643</v>
      </c>
      <c r="C1168" s="6" t="s">
        <v>2496</v>
      </c>
      <c r="D1168" s="6" t="s">
        <v>2450</v>
      </c>
      <c r="E1168" s="6" t="s">
        <v>1220</v>
      </c>
      <c r="F1168" s="6" t="s">
        <v>81</v>
      </c>
      <c r="G1168" s="15" t="str" cm="1">
        <f t="array" ref="G1168">MultiMatchPrefix(Table_Data[[#This Row],[D ID]],Table_Mappings[Data ID],0,"",TRUE,";
")</f>
        <v/>
      </c>
    </row>
    <row r="1169" spans="1:7" x14ac:dyDescent="0.25">
      <c r="A1169" s="20" t="s">
        <v>2516</v>
      </c>
      <c r="B1169" s="11" t="s">
        <v>640</v>
      </c>
      <c r="C1169" s="6" t="s">
        <v>2496</v>
      </c>
      <c r="D1169" s="6" t="s">
        <v>2456</v>
      </c>
      <c r="E1169" s="17"/>
      <c r="F1169" s="6" t="s">
        <v>2457</v>
      </c>
      <c r="G1169" s="15" t="str" cm="1">
        <f t="array" ref="G1169">MultiMatchPrefix(Table_Data[[#This Row],[D ID]],Table_Mappings[Data ID],0,"",TRUE,";
")</f>
        <v/>
      </c>
    </row>
    <row r="1170" spans="1:7" x14ac:dyDescent="0.25">
      <c r="A1170" s="20" t="s">
        <v>2517</v>
      </c>
      <c r="B1170" s="11" t="s">
        <v>643</v>
      </c>
      <c r="C1170" s="6" t="s">
        <v>2496</v>
      </c>
      <c r="D1170" s="6" t="s">
        <v>2456</v>
      </c>
      <c r="E1170" s="6" t="s">
        <v>644</v>
      </c>
      <c r="F1170" s="6" t="s">
        <v>81</v>
      </c>
      <c r="G1170" s="15" t="str" cm="1">
        <f t="array" ref="G1170">MultiMatchPrefix(Table_Data[[#This Row],[D ID]],Table_Mappings[Data ID],0,"",TRUE,";
")</f>
        <v/>
      </c>
    </row>
    <row r="1171" spans="1:7" x14ac:dyDescent="0.25">
      <c r="A1171" s="20" t="s">
        <v>2518</v>
      </c>
      <c r="B1171" s="11" t="s">
        <v>643</v>
      </c>
      <c r="C1171" s="6" t="s">
        <v>2496</v>
      </c>
      <c r="D1171" s="6" t="s">
        <v>2456</v>
      </c>
      <c r="E1171" s="6" t="s">
        <v>650</v>
      </c>
      <c r="F1171" s="6" t="s">
        <v>81</v>
      </c>
      <c r="G1171" s="15" t="str" cm="1">
        <f t="array" ref="G1171">MultiMatchPrefix(Table_Data[[#This Row],[D ID]],Table_Mappings[Data ID],0,"",TRUE,";
")</f>
        <v/>
      </c>
    </row>
    <row r="1172" spans="1:7" x14ac:dyDescent="0.25">
      <c r="A1172" s="20" t="s">
        <v>2519</v>
      </c>
      <c r="B1172" s="11" t="s">
        <v>643</v>
      </c>
      <c r="C1172" s="6" t="s">
        <v>2496</v>
      </c>
      <c r="D1172" s="6" t="s">
        <v>2456</v>
      </c>
      <c r="E1172" s="6" t="s">
        <v>2031</v>
      </c>
      <c r="F1172" s="6" t="s">
        <v>81</v>
      </c>
      <c r="G1172" s="15" t="str" cm="1">
        <f t="array" ref="G1172">MultiMatchPrefix(Table_Data[[#This Row],[D ID]],Table_Mappings[Data ID],0,"",TRUE,";
")</f>
        <v/>
      </c>
    </row>
    <row r="1173" spans="1:7" x14ac:dyDescent="0.25">
      <c r="A1173" s="20" t="s">
        <v>2520</v>
      </c>
      <c r="B1173" s="11" t="s">
        <v>643</v>
      </c>
      <c r="C1173" s="6" t="s">
        <v>2496</v>
      </c>
      <c r="D1173" s="6" t="s">
        <v>2456</v>
      </c>
      <c r="E1173" s="6" t="s">
        <v>1220</v>
      </c>
      <c r="F1173" s="6" t="s">
        <v>81</v>
      </c>
      <c r="G1173" s="15" t="str" cm="1">
        <f t="array" ref="G1173">MultiMatchPrefix(Table_Data[[#This Row],[D ID]],Table_Mappings[Data ID],0,"",TRUE,";
")</f>
        <v/>
      </c>
    </row>
    <row r="1174" spans="1:7" ht="25" x14ac:dyDescent="0.25">
      <c r="A1174" s="20" t="s">
        <v>610</v>
      </c>
      <c r="B1174" s="11" t="s">
        <v>79</v>
      </c>
      <c r="C1174" s="6" t="s">
        <v>2521</v>
      </c>
      <c r="D1174" s="17"/>
      <c r="E1174" s="17"/>
      <c r="F1174" s="6" t="s">
        <v>2522</v>
      </c>
      <c r="G1174" s="15" t="str" cm="1">
        <f t="array" ref="G1174">MultiMatchPrefix(Table_Data[[#This Row],[D ID]],Table_Mappings[Data ID],0,"",TRUE,";
")</f>
        <v xml:space="preserve">10.06 Consortium Funding - Procurement Tracking ;
10.09 Consortium Reporting </v>
      </c>
    </row>
    <row r="1175" spans="1:7" x14ac:dyDescent="0.25">
      <c r="A1175" s="20" t="s">
        <v>2523</v>
      </c>
      <c r="B1175" s="11" t="s">
        <v>640</v>
      </c>
      <c r="C1175" s="6" t="s">
        <v>2521</v>
      </c>
      <c r="D1175" s="6" t="s">
        <v>58</v>
      </c>
      <c r="E1175" s="17"/>
      <c r="F1175" s="6" t="s">
        <v>81</v>
      </c>
      <c r="G1175" s="15" t="str" cm="1">
        <f t="array" ref="G1175">MultiMatchPrefix(Table_Data[[#This Row],[D ID]],Table_Mappings[Data ID],0,"",TRUE,";
")</f>
        <v/>
      </c>
    </row>
    <row r="1176" spans="1:7" ht="13" x14ac:dyDescent="0.25">
      <c r="A1176" s="20" t="s">
        <v>2524</v>
      </c>
      <c r="B1176" s="11" t="s">
        <v>643</v>
      </c>
      <c r="C1176" s="153" t="s">
        <v>2521</v>
      </c>
      <c r="D1176" s="153" t="s">
        <v>58</v>
      </c>
      <c r="E1176" s="153" t="s">
        <v>2417</v>
      </c>
      <c r="F1176" s="6" t="s">
        <v>2418</v>
      </c>
      <c r="G1176" s="15" t="str" cm="1">
        <f t="array" ref="G1176">MultiMatchPrefix(Table_Data[[#This Row],[D ID]],Table_Mappings[Data ID],0,"",TRUE,";
")</f>
        <v/>
      </c>
    </row>
    <row r="1177" spans="1:7" x14ac:dyDescent="0.25">
      <c r="A1177" s="20" t="s">
        <v>2525</v>
      </c>
      <c r="B1177" s="11" t="s">
        <v>640</v>
      </c>
      <c r="C1177" s="6" t="s">
        <v>2521</v>
      </c>
      <c r="D1177" s="6" t="s">
        <v>61</v>
      </c>
      <c r="E1177" s="17"/>
      <c r="F1177" s="6" t="s">
        <v>81</v>
      </c>
      <c r="G1177" s="15" t="str" cm="1">
        <f t="array" ref="G1177">MultiMatchPrefix(Table_Data[[#This Row],[D ID]],Table_Mappings[Data ID],0,"",TRUE,";
")</f>
        <v/>
      </c>
    </row>
    <row r="1178" spans="1:7" ht="13" x14ac:dyDescent="0.25">
      <c r="A1178" s="20" t="s">
        <v>2526</v>
      </c>
      <c r="B1178" s="11" t="s">
        <v>643</v>
      </c>
      <c r="C1178" s="153" t="s">
        <v>2521</v>
      </c>
      <c r="D1178" s="153" t="s">
        <v>61</v>
      </c>
      <c r="E1178" s="153" t="s">
        <v>2421</v>
      </c>
      <c r="F1178" s="6" t="s">
        <v>2418</v>
      </c>
      <c r="G1178" s="15" t="str" cm="1">
        <f t="array" ref="G1178">MultiMatchPrefix(Table_Data[[#This Row],[D ID]],Table_Mappings[Data ID],0,"",TRUE,";
")</f>
        <v/>
      </c>
    </row>
    <row r="1179" spans="1:7" x14ac:dyDescent="0.25">
      <c r="A1179" s="20" t="s">
        <v>2527</v>
      </c>
      <c r="B1179" s="11" t="s">
        <v>640</v>
      </c>
      <c r="C1179" s="6" t="s">
        <v>2521</v>
      </c>
      <c r="D1179" s="6" t="s">
        <v>2528</v>
      </c>
      <c r="E1179" s="17"/>
      <c r="F1179" s="6" t="s">
        <v>81</v>
      </c>
      <c r="G1179" s="15" t="str" cm="1">
        <f t="array" ref="G1179">MultiMatchPrefix(Table_Data[[#This Row],[D ID]],Table_Mappings[Data ID],0,"",TRUE,";
")</f>
        <v/>
      </c>
    </row>
    <row r="1180" spans="1:7" ht="25" x14ac:dyDescent="0.25">
      <c r="A1180" s="20" t="s">
        <v>2529</v>
      </c>
      <c r="B1180" s="11" t="s">
        <v>643</v>
      </c>
      <c r="C1180" s="6" t="s">
        <v>2521</v>
      </c>
      <c r="D1180" s="6" t="s">
        <v>2528</v>
      </c>
      <c r="E1180" s="6" t="s">
        <v>1137</v>
      </c>
      <c r="F1180" s="6" t="s">
        <v>2530</v>
      </c>
      <c r="G1180" s="15" t="str" cm="1">
        <f t="array" ref="G1180">MultiMatchPrefix(Table_Data[[#This Row],[D ID]],Table_Mappings[Data ID],0,"",TRUE,";
")</f>
        <v/>
      </c>
    </row>
    <row r="1181" spans="1:7" ht="25" x14ac:dyDescent="0.25">
      <c r="A1181" s="20" t="s">
        <v>612</v>
      </c>
      <c r="B1181" s="11" t="s">
        <v>79</v>
      </c>
      <c r="C1181" s="6" t="s">
        <v>2531</v>
      </c>
      <c r="D1181" s="17"/>
      <c r="E1181" s="17"/>
      <c r="F1181" s="6" t="s">
        <v>2532</v>
      </c>
      <c r="G1181" s="15" t="str" cm="1">
        <f t="array" ref="G1181">MultiMatchPrefix(Table_Data[[#This Row],[D ID]],Table_Mappings[Data ID],0,"",TRUE,";
")</f>
        <v xml:space="preserve">10.07 Consortium Funding - Distribution to Beneficiaries Tracking ;
10.09 Consortium Reporting </v>
      </c>
    </row>
    <row r="1182" spans="1:7" ht="25" x14ac:dyDescent="0.25">
      <c r="A1182" s="20" t="s">
        <v>2533</v>
      </c>
      <c r="B1182" s="11" t="s">
        <v>640</v>
      </c>
      <c r="C1182" s="6" t="s">
        <v>2531</v>
      </c>
      <c r="D1182" s="6" t="s">
        <v>61</v>
      </c>
      <c r="E1182" s="17"/>
      <c r="F1182" s="6" t="s">
        <v>2534</v>
      </c>
      <c r="G1182" s="15" t="str" cm="1">
        <f t="array" ref="G1182">MultiMatchPrefix(Table_Data[[#This Row],[D ID]],Table_Mappings[Data ID],0,"",TRUE,";
")</f>
        <v/>
      </c>
    </row>
    <row r="1183" spans="1:7" ht="26" x14ac:dyDescent="0.25">
      <c r="A1183" s="20" t="s">
        <v>2535</v>
      </c>
      <c r="B1183" s="11" t="s">
        <v>643</v>
      </c>
      <c r="C1183" s="153" t="s">
        <v>2531</v>
      </c>
      <c r="D1183" s="153" t="s">
        <v>61</v>
      </c>
      <c r="E1183" s="153" t="s">
        <v>2421</v>
      </c>
      <c r="F1183" s="6" t="s">
        <v>2418</v>
      </c>
      <c r="G1183" s="15" t="str" cm="1">
        <f t="array" ref="G1183">MultiMatchPrefix(Table_Data[[#This Row],[D ID]],Table_Mappings[Data ID],0,"",TRUE,";
")</f>
        <v/>
      </c>
    </row>
    <row r="1184" spans="1:7" ht="25" x14ac:dyDescent="0.25">
      <c r="A1184" s="20" t="s">
        <v>2536</v>
      </c>
      <c r="B1184" s="11" t="s">
        <v>640</v>
      </c>
      <c r="C1184" s="6" t="s">
        <v>2531</v>
      </c>
      <c r="D1184" s="6" t="s">
        <v>2391</v>
      </c>
      <c r="E1184" s="17"/>
      <c r="F1184" s="6" t="s">
        <v>81</v>
      </c>
      <c r="G1184" s="15" t="str" cm="1">
        <f t="array" ref="G1184">MultiMatchPrefix(Table_Data[[#This Row],[D ID]],Table_Mappings[Data ID],0,"",TRUE,";
")</f>
        <v/>
      </c>
    </row>
    <row r="1185" spans="1:14" ht="25" x14ac:dyDescent="0.25">
      <c r="A1185" s="20" t="s">
        <v>2537</v>
      </c>
      <c r="B1185" s="11" t="s">
        <v>643</v>
      </c>
      <c r="C1185" s="6" t="s">
        <v>2531</v>
      </c>
      <c r="D1185" s="6" t="s">
        <v>2391</v>
      </c>
      <c r="E1185" s="6" t="s">
        <v>1137</v>
      </c>
      <c r="F1185" s="6" t="s">
        <v>2530</v>
      </c>
      <c r="G1185" s="15" t="str" cm="1">
        <f t="array" ref="G1185">MultiMatchPrefix(Table_Data[[#This Row],[D ID]],Table_Mappings[Data ID],0,"",TRUE,";
")</f>
        <v/>
      </c>
      <c r="I1185" s="19" t="s">
        <v>2632</v>
      </c>
      <c r="J1185" s="19" t="s">
        <v>2633</v>
      </c>
      <c r="K1185" s="19" t="s">
        <v>2633</v>
      </c>
      <c r="L1185" s="19" t="s">
        <v>2634</v>
      </c>
      <c r="M1185" s="19" t="s">
        <v>2684</v>
      </c>
      <c r="N1185" s="181">
        <v>100</v>
      </c>
    </row>
    <row r="1186" spans="1:14" ht="25" x14ac:dyDescent="0.25">
      <c r="A1186" s="20" t="s">
        <v>2538</v>
      </c>
      <c r="B1186" s="11" t="s">
        <v>640</v>
      </c>
      <c r="C1186" s="6" t="s">
        <v>2531</v>
      </c>
      <c r="D1186" s="6" t="s">
        <v>64</v>
      </c>
      <c r="E1186" s="17"/>
      <c r="F1186" s="6" t="s">
        <v>81</v>
      </c>
      <c r="G1186" s="15" t="str" cm="1">
        <f t="array" ref="G1186">MultiMatchPrefix(Table_Data[[#This Row],[D ID]],Table_Mappings[Data ID],0,"",TRUE,";
")</f>
        <v/>
      </c>
    </row>
    <row r="1187" spans="1:14" ht="25" x14ac:dyDescent="0.25">
      <c r="A1187" s="20" t="s">
        <v>2539</v>
      </c>
      <c r="B1187" s="11" t="s">
        <v>643</v>
      </c>
      <c r="C1187" s="6" t="s">
        <v>2531</v>
      </c>
      <c r="D1187" s="6" t="s">
        <v>64</v>
      </c>
      <c r="E1187" s="6" t="s">
        <v>1756</v>
      </c>
      <c r="F1187" s="6" t="s">
        <v>2315</v>
      </c>
      <c r="G1187" s="15" t="str" cm="1">
        <f t="array" ref="G1187">MultiMatchPrefix(Table_Data[[#This Row],[D ID]],Table_Mappings[Data ID],0,"",TRUE,";
")</f>
        <v/>
      </c>
    </row>
    <row r="1188" spans="1:14" ht="25" x14ac:dyDescent="0.25">
      <c r="A1188" s="20" t="s">
        <v>2540</v>
      </c>
      <c r="B1188" s="11" t="s">
        <v>643</v>
      </c>
      <c r="C1188" s="6" t="s">
        <v>2531</v>
      </c>
      <c r="D1188" s="6" t="s">
        <v>64</v>
      </c>
      <c r="E1188" s="6" t="s">
        <v>1759</v>
      </c>
      <c r="F1188" s="6" t="s">
        <v>2315</v>
      </c>
      <c r="G1188" s="15" t="str" cm="1">
        <f t="array" ref="G1188">MultiMatchPrefix(Table_Data[[#This Row],[D ID]],Table_Mappings[Data ID],0,"",TRUE,";
")</f>
        <v/>
      </c>
    </row>
    <row r="1189" spans="1:14" ht="25" x14ac:dyDescent="0.25">
      <c r="A1189" s="20" t="s">
        <v>2541</v>
      </c>
      <c r="B1189" s="11" t="s">
        <v>640</v>
      </c>
      <c r="C1189" s="6" t="s">
        <v>2531</v>
      </c>
      <c r="D1189" s="6" t="s">
        <v>2450</v>
      </c>
      <c r="E1189" s="17"/>
      <c r="F1189" s="6" t="s">
        <v>2451</v>
      </c>
      <c r="G1189" s="15" t="str" cm="1">
        <f t="array" ref="G1189">MultiMatchPrefix(Table_Data[[#This Row],[D ID]],Table_Mappings[Data ID],0,"",TRUE,";
")</f>
        <v/>
      </c>
    </row>
    <row r="1190" spans="1:14" ht="25" x14ac:dyDescent="0.25">
      <c r="A1190" s="20" t="s">
        <v>2542</v>
      </c>
      <c r="B1190" s="11" t="s">
        <v>643</v>
      </c>
      <c r="C1190" s="6" t="s">
        <v>2531</v>
      </c>
      <c r="D1190" s="6" t="s">
        <v>2450</v>
      </c>
      <c r="E1190" s="6" t="s">
        <v>2035</v>
      </c>
      <c r="F1190" s="6" t="s">
        <v>81</v>
      </c>
      <c r="G1190" s="15" t="str" cm="1">
        <f t="array" ref="G1190">MultiMatchPrefix(Table_Data[[#This Row],[D ID]],Table_Mappings[Data ID],0,"",TRUE,";
")</f>
        <v/>
      </c>
    </row>
    <row r="1191" spans="1:14" ht="25" x14ac:dyDescent="0.25">
      <c r="A1191" s="20" t="s">
        <v>2543</v>
      </c>
      <c r="B1191" s="11" t="s">
        <v>643</v>
      </c>
      <c r="C1191" s="6" t="s">
        <v>2531</v>
      </c>
      <c r="D1191" s="6" t="s">
        <v>2450</v>
      </c>
      <c r="E1191" s="6" t="s">
        <v>650</v>
      </c>
      <c r="F1191" s="6" t="s">
        <v>81</v>
      </c>
      <c r="G1191" s="15" t="str" cm="1">
        <f t="array" ref="G1191">MultiMatchPrefix(Table_Data[[#This Row],[D ID]],Table_Mappings[Data ID],0,"",TRUE,";
")</f>
        <v/>
      </c>
    </row>
    <row r="1192" spans="1:14" ht="25" x14ac:dyDescent="0.25">
      <c r="A1192" s="20" t="s">
        <v>2544</v>
      </c>
      <c r="B1192" s="11" t="s">
        <v>643</v>
      </c>
      <c r="C1192" s="6" t="s">
        <v>2531</v>
      </c>
      <c r="D1192" s="6" t="s">
        <v>2450</v>
      </c>
      <c r="E1192" s="6" t="s">
        <v>1220</v>
      </c>
      <c r="F1192" s="6" t="s">
        <v>81</v>
      </c>
      <c r="G1192" s="15" t="str" cm="1">
        <f t="array" ref="G1192">MultiMatchPrefix(Table_Data[[#This Row],[D ID]],Table_Mappings[Data ID],0,"",TRUE,";
")</f>
        <v/>
      </c>
    </row>
    <row r="1193" spans="1:14" ht="25" x14ac:dyDescent="0.25">
      <c r="A1193" s="20" t="s">
        <v>2545</v>
      </c>
      <c r="B1193" s="11" t="s">
        <v>640</v>
      </c>
      <c r="C1193" s="6" t="s">
        <v>2531</v>
      </c>
      <c r="D1193" s="6" t="s">
        <v>2456</v>
      </c>
      <c r="E1193" s="17"/>
      <c r="F1193" s="6" t="s">
        <v>2457</v>
      </c>
      <c r="G1193" s="15" t="str" cm="1">
        <f t="array" ref="G1193">MultiMatchPrefix(Table_Data[[#This Row],[D ID]],Table_Mappings[Data ID],0,"",TRUE,";
")</f>
        <v/>
      </c>
    </row>
    <row r="1194" spans="1:14" ht="25" x14ac:dyDescent="0.25">
      <c r="A1194" s="20" t="s">
        <v>2546</v>
      </c>
      <c r="B1194" s="11" t="s">
        <v>643</v>
      </c>
      <c r="C1194" s="6" t="s">
        <v>2531</v>
      </c>
      <c r="D1194" s="6" t="s">
        <v>2456</v>
      </c>
      <c r="E1194" s="6" t="s">
        <v>644</v>
      </c>
      <c r="F1194" s="6" t="s">
        <v>81</v>
      </c>
      <c r="G1194" s="15" t="str" cm="1">
        <f t="array" ref="G1194">MultiMatchPrefix(Table_Data[[#This Row],[D ID]],Table_Mappings[Data ID],0,"",TRUE,";
")</f>
        <v/>
      </c>
    </row>
    <row r="1195" spans="1:14" ht="25" x14ac:dyDescent="0.25">
      <c r="A1195" s="20" t="s">
        <v>2547</v>
      </c>
      <c r="B1195" s="11" t="s">
        <v>643</v>
      </c>
      <c r="C1195" s="6" t="s">
        <v>2531</v>
      </c>
      <c r="D1195" s="6" t="s">
        <v>2456</v>
      </c>
      <c r="E1195" s="6" t="s">
        <v>650</v>
      </c>
      <c r="F1195" s="6" t="s">
        <v>81</v>
      </c>
      <c r="G1195" s="15" t="str" cm="1">
        <f t="array" ref="G1195">MultiMatchPrefix(Table_Data[[#This Row],[D ID]],Table_Mappings[Data ID],0,"",TRUE,";
")</f>
        <v/>
      </c>
    </row>
    <row r="1196" spans="1:14" ht="25" x14ac:dyDescent="0.25">
      <c r="A1196" s="20" t="s">
        <v>2548</v>
      </c>
      <c r="B1196" s="11" t="s">
        <v>643</v>
      </c>
      <c r="C1196" s="6" t="s">
        <v>2531</v>
      </c>
      <c r="D1196" s="6" t="s">
        <v>2456</v>
      </c>
      <c r="E1196" s="6" t="s">
        <v>2031</v>
      </c>
      <c r="F1196" s="6" t="s">
        <v>81</v>
      </c>
      <c r="G1196" s="15" t="str" cm="1">
        <f t="array" ref="G1196">MultiMatchPrefix(Table_Data[[#This Row],[D ID]],Table_Mappings[Data ID],0,"",TRUE,";
")</f>
        <v/>
      </c>
    </row>
    <row r="1197" spans="1:14" ht="25" x14ac:dyDescent="0.25">
      <c r="A1197" s="20" t="s">
        <v>2549</v>
      </c>
      <c r="B1197" s="11" t="s">
        <v>643</v>
      </c>
      <c r="C1197" s="6" t="s">
        <v>2531</v>
      </c>
      <c r="D1197" s="6" t="s">
        <v>2456</v>
      </c>
      <c r="E1197" s="6" t="s">
        <v>1220</v>
      </c>
      <c r="F1197" s="6" t="s">
        <v>81</v>
      </c>
      <c r="G1197" s="15" t="str" cm="1">
        <f t="array" ref="G1197">MultiMatchPrefix(Table_Data[[#This Row],[D ID]],Table_Mappings[Data ID],0,"",TRUE,";
")</f>
        <v/>
      </c>
    </row>
    <row r="1198" spans="1:14" ht="25" x14ac:dyDescent="0.25">
      <c r="A1198" s="20" t="s">
        <v>614</v>
      </c>
      <c r="B1198" s="11" t="s">
        <v>79</v>
      </c>
      <c r="C1198" s="6" t="s">
        <v>2550</v>
      </c>
      <c r="D1198" s="17"/>
      <c r="E1198" s="17"/>
      <c r="F1198" s="6" t="s">
        <v>2551</v>
      </c>
      <c r="G1198" s="15" t="str" cm="1">
        <f t="array" ref="G1198">MultiMatchPrefix(Table_Data[[#This Row],[D ID]],Table_Mappings[Data ID],0,"",TRUE,";
")</f>
        <v xml:space="preserve">10.08 Consortium Funding - Distribution to Partners Tracking ;
10.09 Consortium Reporting </v>
      </c>
    </row>
    <row r="1199" spans="1:14" ht="25" x14ac:dyDescent="0.25">
      <c r="A1199" s="20" t="s">
        <v>2552</v>
      </c>
      <c r="B1199" s="11" t="s">
        <v>640</v>
      </c>
      <c r="C1199" s="6" t="s">
        <v>2550</v>
      </c>
      <c r="D1199" s="6" t="s">
        <v>61</v>
      </c>
      <c r="E1199" s="17"/>
      <c r="F1199" s="6" t="s">
        <v>2534</v>
      </c>
      <c r="G1199" s="15" t="str" cm="1">
        <f t="array" ref="G1199">MultiMatchPrefix(Table_Data[[#This Row],[D ID]],Table_Mappings[Data ID],0,"",TRUE,";
")</f>
        <v/>
      </c>
    </row>
    <row r="1200" spans="1:14" ht="26" x14ac:dyDescent="0.25">
      <c r="A1200" s="20" t="s">
        <v>2553</v>
      </c>
      <c r="B1200" s="11" t="s">
        <v>643</v>
      </c>
      <c r="C1200" s="153" t="s">
        <v>2550</v>
      </c>
      <c r="D1200" s="153" t="s">
        <v>61</v>
      </c>
      <c r="E1200" s="153" t="s">
        <v>2421</v>
      </c>
      <c r="F1200" s="6" t="s">
        <v>2418</v>
      </c>
      <c r="G1200" s="15" t="str" cm="1">
        <f t="array" ref="G1200">MultiMatchPrefix(Table_Data[[#This Row],[D ID]],Table_Mappings[Data ID],0,"",TRUE,";
")</f>
        <v/>
      </c>
    </row>
    <row r="1201" spans="1:14" ht="25" x14ac:dyDescent="0.25">
      <c r="A1201" s="20" t="s">
        <v>2554</v>
      </c>
      <c r="B1201" s="11" t="s">
        <v>640</v>
      </c>
      <c r="C1201" s="6" t="s">
        <v>2550</v>
      </c>
      <c r="D1201" s="6" t="s">
        <v>2391</v>
      </c>
      <c r="E1201" s="17"/>
      <c r="F1201" s="6" t="s">
        <v>81</v>
      </c>
      <c r="G1201" s="15" t="str" cm="1">
        <f t="array" ref="G1201">MultiMatchPrefix(Table_Data[[#This Row],[D ID]],Table_Mappings[Data ID],0,"",TRUE,";
")</f>
        <v/>
      </c>
    </row>
    <row r="1202" spans="1:14" ht="25" x14ac:dyDescent="0.25">
      <c r="A1202" s="20" t="s">
        <v>2555</v>
      </c>
      <c r="B1202" s="11" t="s">
        <v>643</v>
      </c>
      <c r="C1202" s="6" t="s">
        <v>2550</v>
      </c>
      <c r="D1202" s="6" t="s">
        <v>2391</v>
      </c>
      <c r="E1202" s="6" t="s">
        <v>1137</v>
      </c>
      <c r="F1202" s="6" t="s">
        <v>2530</v>
      </c>
      <c r="G1202" s="15" t="str" cm="1">
        <f t="array" ref="G1202">MultiMatchPrefix(Table_Data[[#This Row],[D ID]],Table_Mappings[Data ID],0,"",TRUE,";
")</f>
        <v/>
      </c>
      <c r="I1202" s="19" t="s">
        <v>2632</v>
      </c>
      <c r="J1202" s="19" t="s">
        <v>2633</v>
      </c>
      <c r="K1202" s="19" t="s">
        <v>2633</v>
      </c>
      <c r="L1202" s="19" t="s">
        <v>2634</v>
      </c>
      <c r="M1202" s="19" t="s">
        <v>2684</v>
      </c>
      <c r="N1202" s="181">
        <v>100</v>
      </c>
    </row>
    <row r="1203" spans="1:14" ht="25" x14ac:dyDescent="0.25">
      <c r="A1203" s="20" t="s">
        <v>2556</v>
      </c>
      <c r="B1203" s="11" t="s">
        <v>640</v>
      </c>
      <c r="C1203" s="6" t="s">
        <v>2550</v>
      </c>
      <c r="D1203" s="6" t="s">
        <v>64</v>
      </c>
      <c r="E1203" s="17"/>
      <c r="F1203" s="6" t="s">
        <v>81</v>
      </c>
      <c r="G1203" s="15" t="str" cm="1">
        <f t="array" ref="G1203">MultiMatchPrefix(Table_Data[[#This Row],[D ID]],Table_Mappings[Data ID],0,"",TRUE,";
")</f>
        <v/>
      </c>
    </row>
    <row r="1204" spans="1:14" ht="25" x14ac:dyDescent="0.25">
      <c r="A1204" s="20" t="s">
        <v>2557</v>
      </c>
      <c r="B1204" s="11" t="s">
        <v>643</v>
      </c>
      <c r="C1204" s="6" t="s">
        <v>2550</v>
      </c>
      <c r="D1204" s="6" t="s">
        <v>64</v>
      </c>
      <c r="E1204" s="6" t="s">
        <v>1756</v>
      </c>
      <c r="F1204" s="6" t="s">
        <v>2315</v>
      </c>
      <c r="G1204" s="15" t="str" cm="1">
        <f t="array" ref="G1204">MultiMatchPrefix(Table_Data[[#This Row],[D ID]],Table_Mappings[Data ID],0,"",TRUE,";
")</f>
        <v/>
      </c>
    </row>
    <row r="1205" spans="1:14" ht="25" x14ac:dyDescent="0.25">
      <c r="A1205" s="20" t="s">
        <v>2558</v>
      </c>
      <c r="B1205" s="11" t="s">
        <v>643</v>
      </c>
      <c r="C1205" s="6" t="s">
        <v>2550</v>
      </c>
      <c r="D1205" s="6" t="s">
        <v>64</v>
      </c>
      <c r="E1205" s="6" t="s">
        <v>1759</v>
      </c>
      <c r="F1205" s="6" t="s">
        <v>2315</v>
      </c>
      <c r="G1205" s="15" t="str" cm="1">
        <f t="array" ref="G1205">MultiMatchPrefix(Table_Data[[#This Row],[D ID]],Table_Mappings[Data ID],0,"",TRUE,";
")</f>
        <v/>
      </c>
    </row>
    <row r="1206" spans="1:14" ht="25" x14ac:dyDescent="0.25">
      <c r="A1206" s="20" t="s">
        <v>2559</v>
      </c>
      <c r="B1206" s="11" t="s">
        <v>640</v>
      </c>
      <c r="C1206" s="6" t="s">
        <v>2550</v>
      </c>
      <c r="D1206" s="6" t="s">
        <v>2450</v>
      </c>
      <c r="E1206" s="17"/>
      <c r="F1206" s="6" t="s">
        <v>2451</v>
      </c>
      <c r="G1206" s="15" t="str" cm="1">
        <f t="array" ref="G1206">MultiMatchPrefix(Table_Data[[#This Row],[D ID]],Table_Mappings[Data ID],0,"",TRUE,";
")</f>
        <v/>
      </c>
    </row>
    <row r="1207" spans="1:14" ht="25" x14ac:dyDescent="0.25">
      <c r="A1207" s="20" t="s">
        <v>2560</v>
      </c>
      <c r="B1207" s="11" t="s">
        <v>643</v>
      </c>
      <c r="C1207" s="6" t="s">
        <v>2550</v>
      </c>
      <c r="D1207" s="6" t="s">
        <v>2450</v>
      </c>
      <c r="E1207" s="6" t="s">
        <v>2035</v>
      </c>
      <c r="F1207" s="6" t="s">
        <v>2561</v>
      </c>
      <c r="G1207" s="15" t="str" cm="1">
        <f t="array" ref="G1207">MultiMatchPrefix(Table_Data[[#This Row],[D ID]],Table_Mappings[Data ID],0,"",TRUE,";
")</f>
        <v/>
      </c>
    </row>
    <row r="1208" spans="1:14" ht="25" x14ac:dyDescent="0.25">
      <c r="A1208" s="20" t="s">
        <v>2562</v>
      </c>
      <c r="B1208" s="11" t="s">
        <v>643</v>
      </c>
      <c r="C1208" s="6" t="s">
        <v>2550</v>
      </c>
      <c r="D1208" s="6" t="s">
        <v>2450</v>
      </c>
      <c r="E1208" s="6" t="s">
        <v>650</v>
      </c>
      <c r="F1208" s="6" t="s">
        <v>81</v>
      </c>
      <c r="G1208" s="15" t="str" cm="1">
        <f t="array" ref="G1208">MultiMatchPrefix(Table_Data[[#This Row],[D ID]],Table_Mappings[Data ID],0,"",TRUE,";
")</f>
        <v/>
      </c>
    </row>
    <row r="1209" spans="1:14" ht="25" x14ac:dyDescent="0.25">
      <c r="A1209" s="20" t="s">
        <v>2563</v>
      </c>
      <c r="B1209" s="11" t="s">
        <v>643</v>
      </c>
      <c r="C1209" s="6" t="s">
        <v>2550</v>
      </c>
      <c r="D1209" s="6" t="s">
        <v>2450</v>
      </c>
      <c r="E1209" s="6" t="s">
        <v>1220</v>
      </c>
      <c r="F1209" s="6" t="s">
        <v>81</v>
      </c>
      <c r="G1209" s="15" t="str" cm="1">
        <f t="array" ref="G1209">MultiMatchPrefix(Table_Data[[#This Row],[D ID]],Table_Mappings[Data ID],0,"",TRUE,";
")</f>
        <v/>
      </c>
    </row>
    <row r="1210" spans="1:14" ht="25" x14ac:dyDescent="0.25">
      <c r="A1210" s="20" t="s">
        <v>2564</v>
      </c>
      <c r="B1210" s="11" t="s">
        <v>640</v>
      </c>
      <c r="C1210" s="6" t="s">
        <v>2550</v>
      </c>
      <c r="D1210" s="6" t="s">
        <v>2565</v>
      </c>
      <c r="E1210" s="17"/>
      <c r="F1210" s="6" t="s">
        <v>2566</v>
      </c>
      <c r="G1210" s="15" t="str" cm="1">
        <f t="array" ref="G1210">MultiMatchPrefix(Table_Data[[#This Row],[D ID]],Table_Mappings[Data ID],0,"",TRUE,";
")</f>
        <v/>
      </c>
    </row>
    <row r="1211" spans="1:14" ht="25" x14ac:dyDescent="0.25">
      <c r="A1211" s="20" t="s">
        <v>2567</v>
      </c>
      <c r="B1211" s="11" t="s">
        <v>643</v>
      </c>
      <c r="C1211" s="6" t="s">
        <v>2550</v>
      </c>
      <c r="D1211" s="6" t="s">
        <v>2565</v>
      </c>
      <c r="E1211" s="6" t="s">
        <v>1137</v>
      </c>
      <c r="F1211" s="6" t="s">
        <v>2568</v>
      </c>
      <c r="G1211" s="15" t="str" cm="1">
        <f t="array" ref="G1211">MultiMatchPrefix(Table_Data[[#This Row],[D ID]],Table_Mappings[Data ID],0,"",TRUE,";
")</f>
        <v/>
      </c>
    </row>
    <row r="1212" spans="1:14" ht="25" x14ac:dyDescent="0.25">
      <c r="A1212" s="20" t="s">
        <v>624</v>
      </c>
      <c r="B1212" s="11" t="s">
        <v>79</v>
      </c>
      <c r="C1212" s="153" t="s">
        <v>2569</v>
      </c>
      <c r="D1212" s="17"/>
      <c r="E1212" s="17"/>
      <c r="F1212" s="6" t="s">
        <v>2570</v>
      </c>
      <c r="G1212" s="15" t="str">
        <f t="array" ref="G1212">MultiMatchPrefix(Table_Data[[#This Row],[D ID]],Table_Mappings[Data ID],0,"",TRUE,";
")</f>
        <v xml:space="preserve">10.09 Consortium Reporting </v>
      </c>
    </row>
    <row r="1213" spans="1:14" ht="26" x14ac:dyDescent="0.3">
      <c r="A1213" s="20" t="s">
        <v>2571</v>
      </c>
      <c r="B1213" s="11" t="s">
        <v>640</v>
      </c>
      <c r="C1213" s="153" t="s">
        <v>2569</v>
      </c>
      <c r="D1213" s="158" t="s">
        <v>2572</v>
      </c>
      <c r="E1213" s="17"/>
      <c r="F1213" s="6" t="s">
        <v>2570</v>
      </c>
      <c r="G1213" s="15" t="str" cm="1">
        <f t="array" ref="G1213">MultiMatchPrefix(Table_Data[[#This Row],[D ID]],Table_Mappings[Data ID],0,"",TRUE,";
")</f>
        <v/>
      </c>
    </row>
    <row r="1214" spans="1:14" ht="26" x14ac:dyDescent="0.3">
      <c r="A1214" s="20" t="s">
        <v>2573</v>
      </c>
      <c r="B1214" s="11" t="s">
        <v>643</v>
      </c>
      <c r="C1214" s="153" t="s">
        <v>2569</v>
      </c>
      <c r="D1214" s="158" t="s">
        <v>2572</v>
      </c>
      <c r="E1214" s="158" t="s">
        <v>2574</v>
      </c>
      <c r="F1214" s="6" t="s">
        <v>2570</v>
      </c>
      <c r="G1214" s="15" t="str" cm="1">
        <f t="array" ref="G1214">MultiMatchPrefix(Table_Data[[#This Row],[D ID]],Table_Mappings[Data ID],0,"",TRUE,";
")</f>
        <v/>
      </c>
    </row>
  </sheetData>
  <autoFilter ref="I2:N24" xr:uid="{49DD3A3D-4BCE-49A5-AFE3-E909C4FEF66D}"/>
  <phoneticPr fontId="5" type="noConversion"/>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B4B27B80-DE5F-4B36-93AA-05D1AA25277D}">
          <x14:formula1>
            <xm:f>Dropdowns!$C$3:$C$6</xm:f>
          </x14:formula1>
          <xm:sqref>B3:B1214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6FEC6-EDB4-4E7F-B769-4FC5F9E5D7AD}">
  <sheetPr codeName="Sheet5">
    <tabColor rgb="FFFFFF00"/>
  </sheetPr>
  <dimension ref="A1:I1042"/>
  <sheetViews>
    <sheetView zoomScale="80" zoomScaleNormal="80" workbookViewId="0">
      <pane xSplit="7" ySplit="3" topLeftCell="H615" activePane="bottomRight" state="frozen"/>
      <selection pane="topRight" activeCell="H1" sqref="H1"/>
      <selection pane="bottomLeft" activeCell="A4" sqref="A4"/>
      <selection pane="bottomRight" activeCell="C637" sqref="C637"/>
    </sheetView>
  </sheetViews>
  <sheetFormatPr defaultColWidth="8.7265625" defaultRowHeight="12.5" x14ac:dyDescent="0.25"/>
  <cols>
    <col min="1" max="1" width="10.26953125" customWidth="1"/>
    <col min="2" max="2" width="31.7265625" customWidth="1"/>
    <col min="3" max="3" width="40.1796875" style="18" customWidth="1"/>
    <col min="4" max="4" width="27.7265625" style="18" customWidth="1"/>
    <col min="5" max="5" width="40.1796875" customWidth="1"/>
    <col min="6" max="6" width="27.7265625" customWidth="1"/>
    <col min="7" max="7" width="41.7265625" style="18" customWidth="1"/>
    <col min="8" max="8" width="36.26953125" style="113" customWidth="1"/>
    <col min="9" max="9" width="86.1796875" customWidth="1"/>
  </cols>
  <sheetData>
    <row r="1" spans="1:9" ht="32.5" x14ac:dyDescent="0.25">
      <c r="A1" s="97"/>
      <c r="B1" s="97"/>
      <c r="C1" s="97"/>
      <c r="D1" s="97" t="s">
        <v>2575</v>
      </c>
      <c r="E1" s="98"/>
      <c r="F1" s="97"/>
      <c r="G1" s="98"/>
      <c r="H1" s="99"/>
      <c r="I1" s="97"/>
    </row>
    <row r="2" spans="1:9" s="120" customFormat="1" ht="20" x14ac:dyDescent="0.4">
      <c r="A2" s="117"/>
      <c r="B2" s="246" t="s">
        <v>2576</v>
      </c>
      <c r="C2" s="246"/>
      <c r="D2" s="247" t="s">
        <v>2577</v>
      </c>
      <c r="E2" s="247"/>
      <c r="F2" s="246" t="s">
        <v>2578</v>
      </c>
      <c r="G2" s="246"/>
      <c r="H2" s="118" t="s">
        <v>2579</v>
      </c>
      <c r="I2" s="119" t="s">
        <v>2580</v>
      </c>
    </row>
    <row r="3" spans="1:9" s="18" customFormat="1" ht="26.75" customHeight="1" thickBot="1" x14ac:dyDescent="0.35">
      <c r="A3" s="31" t="s">
        <v>2581</v>
      </c>
      <c r="B3" s="32" t="s">
        <v>2582</v>
      </c>
      <c r="C3" s="32" t="s">
        <v>2583</v>
      </c>
      <c r="D3" s="32" t="s">
        <v>2584</v>
      </c>
      <c r="E3" s="32" t="s">
        <v>2585</v>
      </c>
      <c r="F3" s="32" t="s">
        <v>2586</v>
      </c>
      <c r="G3" s="32" t="s">
        <v>2587</v>
      </c>
      <c r="H3" s="100" t="s">
        <v>75</v>
      </c>
      <c r="I3" s="32" t="s">
        <v>76</v>
      </c>
    </row>
    <row r="4" spans="1:9" ht="14" customHeight="1" thickTop="1" x14ac:dyDescent="0.25">
      <c r="A4" s="121" t="s">
        <v>642</v>
      </c>
      <c r="B4" s="167" t="s">
        <v>637</v>
      </c>
      <c r="C4" s="243" t="s">
        <v>638</v>
      </c>
      <c r="D4" s="167" t="s">
        <v>641</v>
      </c>
      <c r="E4" s="33"/>
      <c r="F4" s="34" t="s">
        <v>644</v>
      </c>
      <c r="G4" s="33"/>
      <c r="H4" s="35" t="s">
        <v>2588</v>
      </c>
      <c r="I4" s="36" t="s">
        <v>85</v>
      </c>
    </row>
    <row r="5" spans="1:9" ht="13" x14ac:dyDescent="0.25">
      <c r="A5" s="121" t="s">
        <v>645</v>
      </c>
      <c r="B5" s="168"/>
      <c r="C5" s="244"/>
      <c r="D5" s="39"/>
      <c r="E5" s="39"/>
      <c r="F5" s="38" t="s">
        <v>646</v>
      </c>
      <c r="G5" s="39"/>
      <c r="H5" s="101"/>
      <c r="I5" s="36" t="s">
        <v>88</v>
      </c>
    </row>
    <row r="6" spans="1:9" ht="13" x14ac:dyDescent="0.25">
      <c r="A6" s="121" t="s">
        <v>649</v>
      </c>
      <c r="B6" s="168"/>
      <c r="C6" s="244"/>
      <c r="D6" s="39" t="s">
        <v>648</v>
      </c>
      <c r="E6" s="39"/>
      <c r="F6" s="38" t="s">
        <v>650</v>
      </c>
      <c r="G6" s="39"/>
      <c r="H6" s="101"/>
      <c r="I6" s="36" t="s">
        <v>91</v>
      </c>
    </row>
    <row r="7" spans="1:9" ht="13" x14ac:dyDescent="0.25">
      <c r="A7" s="121" t="s">
        <v>651</v>
      </c>
      <c r="B7" s="168"/>
      <c r="C7" s="244"/>
      <c r="D7" s="39"/>
      <c r="E7" s="39"/>
      <c r="F7" s="38" t="s">
        <v>652</v>
      </c>
      <c r="G7" s="39"/>
      <c r="H7" s="101"/>
      <c r="I7" s="36" t="s">
        <v>94</v>
      </c>
    </row>
    <row r="8" spans="1:9" ht="13" x14ac:dyDescent="0.25">
      <c r="A8" s="121" t="s">
        <v>655</v>
      </c>
      <c r="B8" s="168"/>
      <c r="C8" s="244"/>
      <c r="D8" s="39" t="s">
        <v>654</v>
      </c>
      <c r="E8" s="39"/>
      <c r="F8" s="38" t="s">
        <v>656</v>
      </c>
      <c r="G8" s="39"/>
      <c r="H8" s="101"/>
      <c r="I8" s="36"/>
    </row>
    <row r="9" spans="1:9" ht="13" x14ac:dyDescent="0.25">
      <c r="A9" s="121" t="s">
        <v>657</v>
      </c>
      <c r="B9" s="173"/>
      <c r="C9" s="245"/>
      <c r="D9" s="39"/>
      <c r="E9" s="39"/>
      <c r="F9" s="38" t="s">
        <v>658</v>
      </c>
      <c r="G9" s="39"/>
      <c r="H9" s="101"/>
      <c r="I9" s="36"/>
    </row>
    <row r="10" spans="1:9" ht="13" x14ac:dyDescent="0.25">
      <c r="A10" s="121" t="s">
        <v>662</v>
      </c>
      <c r="B10" s="168" t="s">
        <v>659</v>
      </c>
      <c r="C10" s="243" t="s">
        <v>660</v>
      </c>
      <c r="D10" s="39" t="s">
        <v>641</v>
      </c>
      <c r="E10" s="39"/>
      <c r="F10" s="38" t="s">
        <v>644</v>
      </c>
      <c r="G10" s="39"/>
      <c r="H10" s="101"/>
      <c r="I10" s="36"/>
    </row>
    <row r="11" spans="1:9" ht="13" x14ac:dyDescent="0.25">
      <c r="A11" s="121" t="s">
        <v>663</v>
      </c>
      <c r="B11" s="168"/>
      <c r="C11" s="244"/>
      <c r="D11" s="39"/>
      <c r="E11" s="39"/>
      <c r="F11" s="38" t="s">
        <v>646</v>
      </c>
      <c r="G11" s="39"/>
      <c r="H11" s="101"/>
      <c r="I11" s="36"/>
    </row>
    <row r="12" spans="1:9" ht="13" x14ac:dyDescent="0.25">
      <c r="A12" s="121" t="s">
        <v>664</v>
      </c>
      <c r="B12" s="168"/>
      <c r="C12" s="244"/>
      <c r="D12" s="39"/>
      <c r="E12" s="39"/>
      <c r="F12" s="38" t="s">
        <v>665</v>
      </c>
      <c r="G12" s="39"/>
      <c r="H12" s="101"/>
      <c r="I12" s="36"/>
    </row>
    <row r="13" spans="1:9" ht="13" x14ac:dyDescent="0.25">
      <c r="A13" s="121" t="s">
        <v>667</v>
      </c>
      <c r="B13" s="168"/>
      <c r="C13" s="244"/>
      <c r="D13" s="39" t="s">
        <v>648</v>
      </c>
      <c r="E13" s="39"/>
      <c r="F13" s="38" t="s">
        <v>650</v>
      </c>
      <c r="G13" s="39"/>
      <c r="H13" s="101"/>
      <c r="I13" s="36"/>
    </row>
    <row r="14" spans="1:9" ht="13" x14ac:dyDescent="0.25">
      <c r="A14" s="121" t="s">
        <v>668</v>
      </c>
      <c r="B14" s="168"/>
      <c r="C14" s="168"/>
      <c r="D14" s="39"/>
      <c r="E14" s="39"/>
      <c r="F14" s="38" t="s">
        <v>652</v>
      </c>
      <c r="G14" s="39"/>
      <c r="H14" s="101"/>
      <c r="I14" s="36"/>
    </row>
    <row r="15" spans="1:9" ht="14" customHeight="1" x14ac:dyDescent="0.25">
      <c r="A15" s="121" t="s">
        <v>671</v>
      </c>
      <c r="B15" s="168"/>
      <c r="C15" s="168"/>
      <c r="D15" s="39" t="s">
        <v>670</v>
      </c>
      <c r="E15" s="39"/>
      <c r="F15" s="38" t="s">
        <v>656</v>
      </c>
      <c r="G15" s="39"/>
      <c r="H15" s="101"/>
      <c r="I15" s="36"/>
    </row>
    <row r="16" spans="1:9" ht="13" x14ac:dyDescent="0.25">
      <c r="A16" s="121" t="s">
        <v>672</v>
      </c>
      <c r="B16" s="173"/>
      <c r="C16" s="173"/>
      <c r="D16" s="39"/>
      <c r="E16" s="39"/>
      <c r="F16" s="38" t="s">
        <v>658</v>
      </c>
      <c r="G16" s="39"/>
      <c r="H16" s="101"/>
      <c r="I16" s="36"/>
    </row>
    <row r="17" spans="1:9" ht="14" customHeight="1" x14ac:dyDescent="0.25">
      <c r="A17" s="121" t="s">
        <v>677</v>
      </c>
      <c r="B17" s="167" t="s">
        <v>673</v>
      </c>
      <c r="C17" s="243" t="s">
        <v>674</v>
      </c>
      <c r="D17" s="39" t="s">
        <v>676</v>
      </c>
      <c r="E17" s="39"/>
      <c r="F17" s="38" t="s">
        <v>644</v>
      </c>
      <c r="G17" s="39"/>
      <c r="H17" s="101"/>
      <c r="I17" s="36"/>
    </row>
    <row r="18" spans="1:9" ht="13" x14ac:dyDescent="0.25">
      <c r="A18" s="121" t="s">
        <v>678</v>
      </c>
      <c r="B18" s="168"/>
      <c r="C18" s="244"/>
      <c r="D18" s="39"/>
      <c r="E18" s="39"/>
      <c r="F18" s="38" t="s">
        <v>679</v>
      </c>
      <c r="G18" s="39"/>
      <c r="H18" s="101"/>
      <c r="I18" s="36"/>
    </row>
    <row r="19" spans="1:9" ht="13" x14ac:dyDescent="0.25">
      <c r="A19" s="121" t="s">
        <v>680</v>
      </c>
      <c r="B19" s="168"/>
      <c r="C19" s="244"/>
      <c r="D19" s="39"/>
      <c r="E19" s="39"/>
      <c r="F19" s="38" t="s">
        <v>650</v>
      </c>
      <c r="G19" s="39"/>
      <c r="H19" s="101"/>
      <c r="I19" s="36"/>
    </row>
    <row r="20" spans="1:9" ht="13" x14ac:dyDescent="0.25">
      <c r="A20" s="121" t="s">
        <v>683</v>
      </c>
      <c r="B20" s="168"/>
      <c r="C20" s="168"/>
      <c r="D20" s="39" t="s">
        <v>682</v>
      </c>
      <c r="E20" s="39"/>
      <c r="F20" s="38" t="s">
        <v>684</v>
      </c>
      <c r="G20" s="39"/>
      <c r="H20" s="101"/>
      <c r="I20" s="40"/>
    </row>
    <row r="21" spans="1:9" ht="13" x14ac:dyDescent="0.25">
      <c r="A21" s="121" t="s">
        <v>685</v>
      </c>
      <c r="B21" s="168"/>
      <c r="C21" s="168"/>
      <c r="D21" s="39"/>
      <c r="E21" s="39"/>
      <c r="F21" s="38" t="s">
        <v>652</v>
      </c>
      <c r="G21" s="39"/>
      <c r="H21" s="101"/>
      <c r="I21" s="40"/>
    </row>
    <row r="22" spans="1:9" ht="13" x14ac:dyDescent="0.25">
      <c r="A22" s="121" t="s">
        <v>686</v>
      </c>
      <c r="B22" s="168"/>
      <c r="C22" s="168"/>
      <c r="D22" s="39"/>
      <c r="E22" s="39"/>
      <c r="F22" s="38" t="s">
        <v>687</v>
      </c>
      <c r="G22" s="39"/>
      <c r="H22" s="101"/>
      <c r="I22" s="40"/>
    </row>
    <row r="23" spans="1:9" ht="25.5" x14ac:dyDescent="0.3">
      <c r="A23" s="121" t="s">
        <v>690</v>
      </c>
      <c r="B23" s="168"/>
      <c r="C23" s="168"/>
      <c r="D23" s="39" t="s">
        <v>689</v>
      </c>
      <c r="E23" s="39"/>
      <c r="F23" s="127" t="s">
        <v>691</v>
      </c>
      <c r="G23" s="39" t="s">
        <v>692</v>
      </c>
      <c r="H23" s="101"/>
      <c r="I23" s="36"/>
    </row>
    <row r="24" spans="1:9" ht="25.5" x14ac:dyDescent="0.3">
      <c r="A24" s="121" t="s">
        <v>693</v>
      </c>
      <c r="B24" s="168"/>
      <c r="C24" s="168"/>
      <c r="D24" s="39"/>
      <c r="E24" s="39"/>
      <c r="F24" s="126" t="s">
        <v>694</v>
      </c>
      <c r="G24" s="129" t="s">
        <v>692</v>
      </c>
      <c r="H24" s="101"/>
      <c r="I24" s="36"/>
    </row>
    <row r="25" spans="1:9" ht="25.5" x14ac:dyDescent="0.3">
      <c r="A25" s="121" t="s">
        <v>697</v>
      </c>
      <c r="B25" s="168"/>
      <c r="C25" s="168"/>
      <c r="D25" s="39" t="s">
        <v>696</v>
      </c>
      <c r="E25" s="39"/>
      <c r="F25" s="127" t="s">
        <v>698</v>
      </c>
      <c r="G25" s="39" t="s">
        <v>692</v>
      </c>
      <c r="H25" s="101"/>
      <c r="I25" s="36"/>
    </row>
    <row r="26" spans="1:9" ht="25.5" x14ac:dyDescent="0.3">
      <c r="A26" s="121" t="s">
        <v>699</v>
      </c>
      <c r="B26" s="168"/>
      <c r="C26" s="168"/>
      <c r="D26" s="39"/>
      <c r="E26" s="39"/>
      <c r="F26" s="126" t="s">
        <v>694</v>
      </c>
      <c r="G26" s="129" t="s">
        <v>692</v>
      </c>
      <c r="H26" s="101"/>
      <c r="I26" s="36"/>
    </row>
    <row r="27" spans="1:9" ht="25.5" x14ac:dyDescent="0.3">
      <c r="A27" s="121" t="s">
        <v>704</v>
      </c>
      <c r="B27" s="167" t="s">
        <v>700</v>
      </c>
      <c r="C27" s="167" t="s">
        <v>701</v>
      </c>
      <c r="D27" s="39" t="s">
        <v>703</v>
      </c>
      <c r="E27" s="39"/>
      <c r="F27" s="126" t="s">
        <v>694</v>
      </c>
      <c r="G27" s="129" t="s">
        <v>692</v>
      </c>
      <c r="H27" s="101"/>
      <c r="I27" s="36"/>
    </row>
    <row r="28" spans="1:9" ht="13" x14ac:dyDescent="0.25">
      <c r="A28" s="121" t="s">
        <v>707</v>
      </c>
      <c r="B28" s="168"/>
      <c r="C28" s="168"/>
      <c r="D28" s="39" t="s">
        <v>706</v>
      </c>
      <c r="E28" s="39"/>
      <c r="F28" s="38" t="s">
        <v>708</v>
      </c>
      <c r="G28" s="39"/>
      <c r="H28" s="101"/>
      <c r="I28" s="36"/>
    </row>
    <row r="29" spans="1:9" ht="13" x14ac:dyDescent="0.25">
      <c r="A29" s="121" t="s">
        <v>709</v>
      </c>
      <c r="B29" s="168"/>
      <c r="C29" s="168"/>
      <c r="D29" s="39"/>
      <c r="E29" s="39"/>
      <c r="F29" s="38" t="s">
        <v>710</v>
      </c>
      <c r="G29" s="39"/>
      <c r="H29" s="101"/>
      <c r="I29" s="36"/>
    </row>
    <row r="30" spans="1:9" ht="25.5" x14ac:dyDescent="0.3">
      <c r="A30" s="121" t="s">
        <v>713</v>
      </c>
      <c r="B30" s="168"/>
      <c r="C30" s="168"/>
      <c r="D30" s="39" t="s">
        <v>712</v>
      </c>
      <c r="E30" s="39"/>
      <c r="F30" s="127" t="s">
        <v>694</v>
      </c>
      <c r="G30" s="39" t="s">
        <v>692</v>
      </c>
      <c r="H30" s="101"/>
      <c r="I30" s="36"/>
    </row>
    <row r="31" spans="1:9" ht="25.5" x14ac:dyDescent="0.3">
      <c r="A31" s="121" t="s">
        <v>716</v>
      </c>
      <c r="B31" s="173"/>
      <c r="C31" s="173"/>
      <c r="D31" s="39" t="s">
        <v>715</v>
      </c>
      <c r="E31" s="39"/>
      <c r="F31" s="127" t="s">
        <v>694</v>
      </c>
      <c r="G31" s="39" t="s">
        <v>692</v>
      </c>
      <c r="H31" s="102"/>
      <c r="I31" s="36"/>
    </row>
    <row r="32" spans="1:9" ht="13" x14ac:dyDescent="0.25">
      <c r="A32" s="121" t="s">
        <v>720</v>
      </c>
      <c r="B32" s="168" t="s">
        <v>717</v>
      </c>
      <c r="C32" s="243" t="s">
        <v>718</v>
      </c>
      <c r="D32" s="39" t="s">
        <v>55</v>
      </c>
      <c r="E32" s="39"/>
      <c r="F32" s="41" t="s">
        <v>721</v>
      </c>
      <c r="G32" s="39"/>
      <c r="H32" s="42" t="s">
        <v>100</v>
      </c>
      <c r="I32" s="43" t="s">
        <v>101</v>
      </c>
    </row>
    <row r="33" spans="1:9" ht="13" x14ac:dyDescent="0.25">
      <c r="A33" s="121" t="s">
        <v>722</v>
      </c>
      <c r="B33" s="168"/>
      <c r="C33" s="244"/>
      <c r="D33" s="39"/>
      <c r="E33" s="39"/>
      <c r="F33" s="38" t="s">
        <v>723</v>
      </c>
      <c r="G33" s="39"/>
      <c r="H33" s="44"/>
      <c r="I33" s="43" t="s">
        <v>104</v>
      </c>
    </row>
    <row r="34" spans="1:9" ht="13" x14ac:dyDescent="0.25">
      <c r="A34" s="121" t="s">
        <v>724</v>
      </c>
      <c r="B34" s="168"/>
      <c r="C34" s="168"/>
      <c r="D34" s="39"/>
      <c r="E34" s="39"/>
      <c r="F34" s="38" t="s">
        <v>725</v>
      </c>
      <c r="G34" s="39"/>
      <c r="H34" s="103"/>
      <c r="I34" s="43" t="s">
        <v>107</v>
      </c>
    </row>
    <row r="35" spans="1:9" ht="13" x14ac:dyDescent="0.25">
      <c r="A35" s="121" t="s">
        <v>726</v>
      </c>
      <c r="B35" s="168"/>
      <c r="C35" s="168"/>
      <c r="D35" s="39"/>
      <c r="E35" s="39"/>
      <c r="F35" s="38" t="s">
        <v>727</v>
      </c>
      <c r="G35" s="39" t="s">
        <v>728</v>
      </c>
      <c r="H35" s="103"/>
      <c r="I35" s="43" t="s">
        <v>110</v>
      </c>
    </row>
    <row r="36" spans="1:9" ht="13" x14ac:dyDescent="0.25">
      <c r="A36" s="121" t="s">
        <v>729</v>
      </c>
      <c r="B36" s="168"/>
      <c r="C36" s="168"/>
      <c r="D36" s="39"/>
      <c r="E36" s="39"/>
      <c r="F36" s="38" t="s">
        <v>730</v>
      </c>
      <c r="G36" s="39" t="s">
        <v>731</v>
      </c>
      <c r="H36" s="103"/>
      <c r="I36" s="43" t="s">
        <v>113</v>
      </c>
    </row>
    <row r="37" spans="1:9" ht="13" x14ac:dyDescent="0.25">
      <c r="A37" s="121" t="s">
        <v>734</v>
      </c>
      <c r="B37" s="168"/>
      <c r="C37" s="168"/>
      <c r="D37" s="39" t="s">
        <v>733</v>
      </c>
      <c r="E37" s="39"/>
      <c r="F37" s="38" t="s">
        <v>735</v>
      </c>
      <c r="G37" s="39" t="s">
        <v>736</v>
      </c>
      <c r="H37" s="103"/>
      <c r="I37" s="43" t="s">
        <v>116</v>
      </c>
    </row>
    <row r="38" spans="1:9" ht="13" x14ac:dyDescent="0.25">
      <c r="A38" s="121" t="s">
        <v>737</v>
      </c>
      <c r="B38" s="168"/>
      <c r="C38" s="168"/>
      <c r="D38" s="39"/>
      <c r="E38" s="39"/>
      <c r="F38" s="38" t="s">
        <v>738</v>
      </c>
      <c r="G38" s="39" t="s">
        <v>739</v>
      </c>
      <c r="H38" s="103"/>
      <c r="I38" s="43" t="s">
        <v>119</v>
      </c>
    </row>
    <row r="39" spans="1:9" ht="37.5" x14ac:dyDescent="0.25">
      <c r="A39" s="121" t="s">
        <v>740</v>
      </c>
      <c r="B39" s="168"/>
      <c r="C39" s="168"/>
      <c r="D39" s="39"/>
      <c r="E39" s="39"/>
      <c r="F39" s="38" t="s">
        <v>741</v>
      </c>
      <c r="G39" s="39" t="s">
        <v>742</v>
      </c>
      <c r="H39" s="103"/>
      <c r="I39" s="43"/>
    </row>
    <row r="40" spans="1:9" ht="13" x14ac:dyDescent="0.25">
      <c r="A40" s="121" t="s">
        <v>743</v>
      </c>
      <c r="B40" s="168"/>
      <c r="C40" s="168"/>
      <c r="D40" s="39"/>
      <c r="E40" s="39"/>
      <c r="F40" s="38" t="s">
        <v>744</v>
      </c>
      <c r="G40" s="39"/>
      <c r="H40" s="103"/>
      <c r="I40" s="43"/>
    </row>
    <row r="41" spans="1:9" ht="13" x14ac:dyDescent="0.25">
      <c r="A41" s="121" t="s">
        <v>745</v>
      </c>
      <c r="B41" s="168"/>
      <c r="C41" s="168"/>
      <c r="D41" s="39"/>
      <c r="E41" s="39"/>
      <c r="F41" s="38" t="s">
        <v>746</v>
      </c>
      <c r="G41" s="39"/>
      <c r="H41" s="103"/>
      <c r="I41" s="43"/>
    </row>
    <row r="42" spans="1:9" ht="13" x14ac:dyDescent="0.25">
      <c r="A42" s="121" t="s">
        <v>747</v>
      </c>
      <c r="B42" s="168"/>
      <c r="C42" s="168"/>
      <c r="D42" s="39"/>
      <c r="E42" s="39"/>
      <c r="F42" s="38" t="s">
        <v>748</v>
      </c>
      <c r="G42" s="39"/>
      <c r="H42" s="103"/>
      <c r="I42" s="43"/>
    </row>
    <row r="43" spans="1:9" ht="13" x14ac:dyDescent="0.25">
      <c r="A43" s="121" t="s">
        <v>749</v>
      </c>
      <c r="B43" s="168"/>
      <c r="C43" s="168"/>
      <c r="D43" s="39"/>
      <c r="E43" s="39"/>
      <c r="F43" s="38" t="s">
        <v>750</v>
      </c>
      <c r="G43" s="39"/>
      <c r="H43" s="103"/>
      <c r="I43" s="43"/>
    </row>
    <row r="44" spans="1:9" ht="13.25" customHeight="1" x14ac:dyDescent="0.25">
      <c r="A44" s="121" t="s">
        <v>751</v>
      </c>
      <c r="B44" s="168"/>
      <c r="C44" s="168"/>
      <c r="D44" s="39"/>
      <c r="E44" s="39"/>
      <c r="F44" s="38" t="s">
        <v>752</v>
      </c>
      <c r="G44" s="39"/>
      <c r="H44" s="103"/>
      <c r="I44" s="43"/>
    </row>
    <row r="45" spans="1:9" ht="13" x14ac:dyDescent="0.25">
      <c r="A45" s="121" t="s">
        <v>753</v>
      </c>
      <c r="B45" s="168"/>
      <c r="C45" s="168"/>
      <c r="D45" s="39"/>
      <c r="E45" s="39"/>
      <c r="F45" s="38" t="s">
        <v>754</v>
      </c>
      <c r="G45" s="39"/>
      <c r="H45" s="103"/>
      <c r="I45" s="43"/>
    </row>
    <row r="46" spans="1:9" ht="13" x14ac:dyDescent="0.25">
      <c r="A46" s="121" t="s">
        <v>755</v>
      </c>
      <c r="B46" s="168"/>
      <c r="C46" s="168"/>
      <c r="D46" s="39"/>
      <c r="E46" s="39"/>
      <c r="F46" s="38" t="s">
        <v>756</v>
      </c>
      <c r="G46" s="39"/>
      <c r="H46" s="103"/>
      <c r="I46" s="43"/>
    </row>
    <row r="47" spans="1:9" ht="13" x14ac:dyDescent="0.25">
      <c r="A47" s="121" t="s">
        <v>757</v>
      </c>
      <c r="B47" s="168"/>
      <c r="C47" s="168"/>
      <c r="D47" s="39"/>
      <c r="E47" s="39"/>
      <c r="F47" s="38" t="s">
        <v>758</v>
      </c>
      <c r="G47" s="39"/>
      <c r="H47" s="103"/>
      <c r="I47" s="43"/>
    </row>
    <row r="48" spans="1:9" ht="13" x14ac:dyDescent="0.25">
      <c r="A48" s="121" t="s">
        <v>759</v>
      </c>
      <c r="B48" s="168"/>
      <c r="C48" s="168"/>
      <c r="D48" s="39"/>
      <c r="E48" s="39"/>
      <c r="F48" s="38" t="s">
        <v>760</v>
      </c>
      <c r="G48" s="39"/>
      <c r="H48" s="103"/>
      <c r="I48" s="43"/>
    </row>
    <row r="49" spans="1:9" ht="25.5" x14ac:dyDescent="0.3">
      <c r="A49" s="121" t="s">
        <v>763</v>
      </c>
      <c r="B49" s="168"/>
      <c r="C49" s="168"/>
      <c r="D49" s="39" t="s">
        <v>762</v>
      </c>
      <c r="E49" s="39"/>
      <c r="F49" s="126" t="s">
        <v>694</v>
      </c>
      <c r="G49" s="39" t="s">
        <v>692</v>
      </c>
      <c r="H49" s="103"/>
      <c r="I49" s="43"/>
    </row>
    <row r="50" spans="1:9" ht="25" x14ac:dyDescent="0.25">
      <c r="A50" s="121" t="s">
        <v>766</v>
      </c>
      <c r="B50" s="168"/>
      <c r="C50" s="168"/>
      <c r="D50" s="39" t="s">
        <v>765</v>
      </c>
      <c r="E50" s="39"/>
      <c r="F50" s="38" t="s">
        <v>767</v>
      </c>
      <c r="G50" s="39" t="s">
        <v>768</v>
      </c>
      <c r="H50" s="103"/>
      <c r="I50" s="43"/>
    </row>
    <row r="51" spans="1:9" ht="13.25" customHeight="1" x14ac:dyDescent="0.25">
      <c r="A51" s="121" t="s">
        <v>769</v>
      </c>
      <c r="B51" s="168"/>
      <c r="C51" s="168"/>
      <c r="D51" s="39"/>
      <c r="E51" s="39"/>
      <c r="F51" s="38" t="s">
        <v>770</v>
      </c>
      <c r="G51" s="39"/>
      <c r="H51" s="103"/>
      <c r="I51" s="43"/>
    </row>
    <row r="52" spans="1:9" ht="13" x14ac:dyDescent="0.25">
      <c r="A52" s="121" t="s">
        <v>771</v>
      </c>
      <c r="B52" s="168"/>
      <c r="C52" s="168"/>
      <c r="D52" s="39"/>
      <c r="E52" s="39"/>
      <c r="F52" s="38" t="s">
        <v>772</v>
      </c>
      <c r="G52" s="39"/>
      <c r="H52" s="103"/>
      <c r="I52" s="43"/>
    </row>
    <row r="53" spans="1:9" ht="13" x14ac:dyDescent="0.25">
      <c r="A53" s="121" t="s">
        <v>773</v>
      </c>
      <c r="B53" s="168"/>
      <c r="C53" s="168"/>
      <c r="D53" s="39"/>
      <c r="E53" s="39"/>
      <c r="F53" s="38" t="s">
        <v>774</v>
      </c>
      <c r="G53" s="39"/>
      <c r="H53" s="103"/>
      <c r="I53" s="43"/>
    </row>
    <row r="54" spans="1:9" ht="50" x14ac:dyDescent="0.25">
      <c r="A54" s="121" t="s">
        <v>777</v>
      </c>
      <c r="B54" s="168"/>
      <c r="C54" s="168"/>
      <c r="D54" s="39" t="s">
        <v>776</v>
      </c>
      <c r="E54" s="39"/>
      <c r="F54" s="38" t="s">
        <v>778</v>
      </c>
      <c r="G54" s="39" t="s">
        <v>779</v>
      </c>
      <c r="H54" s="103"/>
      <c r="I54" s="43"/>
    </row>
    <row r="55" spans="1:9" ht="13" x14ac:dyDescent="0.25">
      <c r="A55" s="121" t="s">
        <v>780</v>
      </c>
      <c r="B55" s="168"/>
      <c r="C55" s="168"/>
      <c r="D55" s="39"/>
      <c r="E55" s="39"/>
      <c r="F55" s="38" t="s">
        <v>781</v>
      </c>
      <c r="G55" s="39"/>
      <c r="H55" s="103"/>
      <c r="I55" s="43"/>
    </row>
    <row r="56" spans="1:9" ht="13" x14ac:dyDescent="0.25">
      <c r="A56" s="121" t="s">
        <v>782</v>
      </c>
      <c r="B56" s="168"/>
      <c r="C56" s="168"/>
      <c r="D56" s="39"/>
      <c r="E56" s="39"/>
      <c r="F56" s="38" t="s">
        <v>783</v>
      </c>
      <c r="G56" s="39"/>
      <c r="H56" s="103"/>
      <c r="I56" s="43"/>
    </row>
    <row r="57" spans="1:9" ht="13" x14ac:dyDescent="0.25">
      <c r="A57" s="121" t="s">
        <v>786</v>
      </c>
      <c r="B57" s="168"/>
      <c r="C57" s="168"/>
      <c r="D57" s="39" t="s">
        <v>785</v>
      </c>
      <c r="E57" s="39"/>
      <c r="F57" s="38" t="s">
        <v>787</v>
      </c>
      <c r="G57" s="39"/>
      <c r="H57" s="103"/>
      <c r="I57" s="43"/>
    </row>
    <row r="58" spans="1:9" ht="13" x14ac:dyDescent="0.25">
      <c r="A58" s="121" t="s">
        <v>788</v>
      </c>
      <c r="B58" s="168"/>
      <c r="C58" s="168"/>
      <c r="D58" s="39"/>
      <c r="E58" s="39"/>
      <c r="F58" s="38" t="s">
        <v>789</v>
      </c>
      <c r="G58" s="39"/>
      <c r="H58" s="103"/>
      <c r="I58" s="43"/>
    </row>
    <row r="59" spans="1:9" ht="13" x14ac:dyDescent="0.25">
      <c r="A59" s="121" t="s">
        <v>792</v>
      </c>
      <c r="B59" s="168"/>
      <c r="C59" s="168"/>
      <c r="D59" s="39" t="s">
        <v>791</v>
      </c>
      <c r="E59" s="39"/>
      <c r="F59" s="39" t="s">
        <v>793</v>
      </c>
      <c r="G59" s="39"/>
      <c r="H59" s="103"/>
      <c r="I59" s="43"/>
    </row>
    <row r="60" spans="1:9" ht="13" x14ac:dyDescent="0.25">
      <c r="A60" s="121" t="s">
        <v>797</v>
      </c>
      <c r="B60" s="167" t="s">
        <v>52</v>
      </c>
      <c r="C60" s="243" t="s">
        <v>794</v>
      </c>
      <c r="D60" s="39" t="s">
        <v>796</v>
      </c>
      <c r="E60" s="39"/>
      <c r="F60" s="38" t="s">
        <v>644</v>
      </c>
      <c r="G60" s="39"/>
      <c r="H60" s="103"/>
      <c r="I60" s="43"/>
    </row>
    <row r="61" spans="1:9" ht="13" x14ac:dyDescent="0.25">
      <c r="A61" s="121" t="s">
        <v>798</v>
      </c>
      <c r="B61" s="168"/>
      <c r="C61" s="244"/>
      <c r="D61" s="39"/>
      <c r="E61" s="39"/>
      <c r="F61" s="38" t="s">
        <v>646</v>
      </c>
      <c r="G61" s="39"/>
      <c r="H61" s="103"/>
      <c r="I61" s="43"/>
    </row>
    <row r="62" spans="1:9" ht="14" customHeight="1" x14ac:dyDescent="0.25">
      <c r="A62" s="121" t="s">
        <v>799</v>
      </c>
      <c r="B62" s="168"/>
      <c r="C62" s="170"/>
      <c r="D62" s="39"/>
      <c r="E62" s="39"/>
      <c r="F62" s="38" t="s">
        <v>800</v>
      </c>
      <c r="G62" s="39"/>
      <c r="H62" s="103"/>
      <c r="I62" s="43"/>
    </row>
    <row r="63" spans="1:9" ht="13" x14ac:dyDescent="0.25">
      <c r="A63" s="121" t="s">
        <v>801</v>
      </c>
      <c r="B63" s="168"/>
      <c r="C63" s="170"/>
      <c r="D63" s="39"/>
      <c r="E63" s="39"/>
      <c r="F63" s="38" t="s">
        <v>802</v>
      </c>
      <c r="G63" s="39" t="s">
        <v>803</v>
      </c>
      <c r="H63" s="103"/>
      <c r="I63" s="43"/>
    </row>
    <row r="64" spans="1:9" ht="13" x14ac:dyDescent="0.25">
      <c r="A64" s="121" t="s">
        <v>806</v>
      </c>
      <c r="B64" s="168"/>
      <c r="C64" s="170"/>
      <c r="D64" s="39" t="s">
        <v>805</v>
      </c>
      <c r="E64" s="39"/>
      <c r="F64" s="38" t="s">
        <v>807</v>
      </c>
      <c r="G64" s="39"/>
      <c r="H64" s="103"/>
      <c r="I64" s="43"/>
    </row>
    <row r="65" spans="1:9" ht="13" x14ac:dyDescent="0.25">
      <c r="A65" s="121" t="s">
        <v>808</v>
      </c>
      <c r="B65" s="168"/>
      <c r="C65" s="170"/>
      <c r="D65" s="39"/>
      <c r="E65" s="39"/>
      <c r="F65" s="38" t="s">
        <v>809</v>
      </c>
      <c r="G65" s="39"/>
      <c r="H65" s="103"/>
      <c r="I65" s="43"/>
    </row>
    <row r="66" spans="1:9" ht="13" x14ac:dyDescent="0.25">
      <c r="A66" s="121" t="s">
        <v>810</v>
      </c>
      <c r="B66" s="168"/>
      <c r="C66" s="170"/>
      <c r="D66" s="39"/>
      <c r="E66" s="39"/>
      <c r="F66" s="38" t="s">
        <v>811</v>
      </c>
      <c r="G66" s="39"/>
      <c r="H66" s="103"/>
      <c r="I66" s="43"/>
    </row>
    <row r="67" spans="1:9" ht="14" customHeight="1" x14ac:dyDescent="0.25">
      <c r="A67" s="121" t="s">
        <v>812</v>
      </c>
      <c r="B67" s="168"/>
      <c r="C67" s="170"/>
      <c r="D67" s="39"/>
      <c r="E67" s="39"/>
      <c r="F67" s="38" t="s">
        <v>813</v>
      </c>
      <c r="G67" s="39"/>
      <c r="H67" s="103"/>
      <c r="I67" s="43"/>
    </row>
    <row r="68" spans="1:9" ht="13" x14ac:dyDescent="0.25">
      <c r="A68" s="121" t="s">
        <v>814</v>
      </c>
      <c r="B68" s="168"/>
      <c r="C68" s="170"/>
      <c r="D68" s="39"/>
      <c r="E68" s="39"/>
      <c r="F68" s="38" t="s">
        <v>815</v>
      </c>
      <c r="G68" s="39"/>
      <c r="H68" s="103"/>
      <c r="I68" s="43"/>
    </row>
    <row r="69" spans="1:9" ht="13" x14ac:dyDescent="0.25">
      <c r="A69" s="121" t="s">
        <v>819</v>
      </c>
      <c r="B69" s="168"/>
      <c r="C69" s="170"/>
      <c r="D69" s="39" t="s">
        <v>817</v>
      </c>
      <c r="E69" s="39" t="s">
        <v>818</v>
      </c>
      <c r="F69" s="38" t="s">
        <v>820</v>
      </c>
      <c r="G69" s="39"/>
      <c r="H69" s="103"/>
      <c r="I69" s="43"/>
    </row>
    <row r="70" spans="1:9" ht="13" x14ac:dyDescent="0.25">
      <c r="A70" s="121" t="s">
        <v>821</v>
      </c>
      <c r="B70" s="168"/>
      <c r="C70" s="170"/>
      <c r="D70" s="39"/>
      <c r="E70" s="39"/>
      <c r="F70" s="38" t="s">
        <v>822</v>
      </c>
      <c r="G70" s="39"/>
      <c r="H70" s="103"/>
      <c r="I70" s="43"/>
    </row>
    <row r="71" spans="1:9" ht="13" x14ac:dyDescent="0.25">
      <c r="A71" s="121" t="s">
        <v>823</v>
      </c>
      <c r="B71" s="168"/>
      <c r="C71" s="170"/>
      <c r="D71" s="39"/>
      <c r="E71" s="39"/>
      <c r="F71" s="38" t="s">
        <v>824</v>
      </c>
      <c r="G71" s="39"/>
      <c r="H71" s="103"/>
      <c r="I71" s="43"/>
    </row>
    <row r="72" spans="1:9" ht="13" x14ac:dyDescent="0.25">
      <c r="A72" s="121" t="s">
        <v>825</v>
      </c>
      <c r="B72" s="168"/>
      <c r="C72" s="170"/>
      <c r="D72" s="39"/>
      <c r="E72" s="39"/>
      <c r="F72" s="38" t="s">
        <v>826</v>
      </c>
      <c r="G72" s="39"/>
      <c r="H72" s="103"/>
      <c r="I72" s="43"/>
    </row>
    <row r="73" spans="1:9" ht="25" x14ac:dyDescent="0.25">
      <c r="A73" s="121" t="s">
        <v>830</v>
      </c>
      <c r="B73" s="168"/>
      <c r="C73" s="170"/>
      <c r="D73" s="39" t="s">
        <v>828</v>
      </c>
      <c r="E73" s="39" t="s">
        <v>829</v>
      </c>
      <c r="F73" s="38" t="s">
        <v>831</v>
      </c>
      <c r="G73" s="39"/>
      <c r="H73" s="103"/>
      <c r="I73" s="43"/>
    </row>
    <row r="74" spans="1:9" ht="13" x14ac:dyDescent="0.25">
      <c r="A74" s="121" t="s">
        <v>832</v>
      </c>
      <c r="B74" s="168"/>
      <c r="C74" s="170"/>
      <c r="D74" s="39"/>
      <c r="E74" s="39"/>
      <c r="F74" s="38" t="s">
        <v>833</v>
      </c>
      <c r="G74" s="39"/>
      <c r="H74" s="103"/>
      <c r="I74" s="43"/>
    </row>
    <row r="75" spans="1:9" ht="13" x14ac:dyDescent="0.25">
      <c r="A75" s="121" t="s">
        <v>834</v>
      </c>
      <c r="B75" s="168"/>
      <c r="C75" s="170"/>
      <c r="D75" s="39"/>
      <c r="E75" s="39"/>
      <c r="F75" s="38" t="s">
        <v>835</v>
      </c>
      <c r="G75" s="39"/>
      <c r="H75" s="103"/>
      <c r="I75" s="43"/>
    </row>
    <row r="76" spans="1:9" ht="14" customHeight="1" x14ac:dyDescent="0.25">
      <c r="A76" s="121" t="s">
        <v>836</v>
      </c>
      <c r="B76" s="168"/>
      <c r="C76" s="170"/>
      <c r="D76" s="39"/>
      <c r="E76" s="39"/>
      <c r="F76" s="38" t="s">
        <v>837</v>
      </c>
      <c r="G76" s="39"/>
      <c r="H76" s="103"/>
      <c r="I76" s="43"/>
    </row>
    <row r="77" spans="1:9" ht="13" x14ac:dyDescent="0.25">
      <c r="A77" s="121" t="s">
        <v>838</v>
      </c>
      <c r="B77" s="168"/>
      <c r="C77" s="45"/>
      <c r="D77" s="39"/>
      <c r="E77" s="39"/>
      <c r="F77" s="38" t="s">
        <v>839</v>
      </c>
      <c r="G77" s="39"/>
      <c r="H77" s="103"/>
      <c r="I77" s="43"/>
    </row>
    <row r="78" spans="1:9" ht="13" x14ac:dyDescent="0.25">
      <c r="A78" s="121" t="s">
        <v>840</v>
      </c>
      <c r="B78" s="168"/>
      <c r="C78" s="45"/>
      <c r="D78" s="39"/>
      <c r="E78" s="39"/>
      <c r="F78" s="38" t="s">
        <v>841</v>
      </c>
      <c r="G78" s="39"/>
      <c r="H78" s="103"/>
      <c r="I78" s="43"/>
    </row>
    <row r="79" spans="1:9" ht="13" x14ac:dyDescent="0.25">
      <c r="A79" s="121" t="s">
        <v>842</v>
      </c>
      <c r="B79" s="168"/>
      <c r="C79" s="45"/>
      <c r="D79" s="39"/>
      <c r="E79" s="39"/>
      <c r="F79" s="38" t="s">
        <v>843</v>
      </c>
      <c r="G79" s="39"/>
      <c r="H79" s="103"/>
      <c r="I79" s="43"/>
    </row>
    <row r="80" spans="1:9" ht="13" x14ac:dyDescent="0.25">
      <c r="A80" s="121" t="s">
        <v>848</v>
      </c>
      <c r="B80" s="167" t="s">
        <v>844</v>
      </c>
      <c r="C80" s="243" t="s">
        <v>845</v>
      </c>
      <c r="D80" s="39" t="s">
        <v>847</v>
      </c>
      <c r="E80" s="39"/>
      <c r="F80" s="38" t="s">
        <v>849</v>
      </c>
      <c r="G80" s="39"/>
      <c r="H80" s="103"/>
      <c r="I80" s="43"/>
    </row>
    <row r="81" spans="1:9" ht="13" x14ac:dyDescent="0.25">
      <c r="A81" s="121" t="s">
        <v>850</v>
      </c>
      <c r="B81" s="168"/>
      <c r="C81" s="244"/>
      <c r="D81" s="39"/>
      <c r="E81" s="39"/>
      <c r="F81" s="38" t="s">
        <v>851</v>
      </c>
      <c r="G81" s="39"/>
      <c r="H81" s="103"/>
      <c r="I81" s="43"/>
    </row>
    <row r="82" spans="1:9" ht="13" x14ac:dyDescent="0.25">
      <c r="A82" s="121" t="s">
        <v>852</v>
      </c>
      <c r="B82" s="168"/>
      <c r="C82" s="45"/>
      <c r="D82" s="39"/>
      <c r="E82" s="39"/>
      <c r="F82" s="38" t="s">
        <v>853</v>
      </c>
      <c r="G82" s="39" t="s">
        <v>854</v>
      </c>
      <c r="H82" s="103"/>
      <c r="I82" s="43"/>
    </row>
    <row r="83" spans="1:9" ht="13" x14ac:dyDescent="0.25">
      <c r="A83" s="121" t="s">
        <v>855</v>
      </c>
      <c r="B83" s="168"/>
      <c r="C83" s="45"/>
      <c r="D83" s="39"/>
      <c r="E83" s="39"/>
      <c r="F83" s="38" t="s">
        <v>856</v>
      </c>
      <c r="G83" s="39"/>
      <c r="H83" s="103"/>
      <c r="I83" s="43"/>
    </row>
    <row r="84" spans="1:9" ht="13" x14ac:dyDescent="0.25">
      <c r="A84" s="121" t="s">
        <v>861</v>
      </c>
      <c r="B84" s="167" t="s">
        <v>857</v>
      </c>
      <c r="C84" s="243" t="s">
        <v>858</v>
      </c>
      <c r="D84" s="39" t="s">
        <v>860</v>
      </c>
      <c r="E84" s="39"/>
      <c r="F84" s="38" t="s">
        <v>862</v>
      </c>
      <c r="G84" s="39"/>
      <c r="H84" s="103"/>
      <c r="I84" s="43"/>
    </row>
    <row r="85" spans="1:9" ht="13" x14ac:dyDescent="0.25">
      <c r="A85" s="121" t="s">
        <v>863</v>
      </c>
      <c r="B85" s="168"/>
      <c r="C85" s="244"/>
      <c r="D85" s="39"/>
      <c r="E85" s="39"/>
      <c r="F85" s="38" t="s">
        <v>721</v>
      </c>
      <c r="G85" s="39"/>
      <c r="H85" s="103"/>
      <c r="I85" s="43"/>
    </row>
    <row r="86" spans="1:9" ht="13" x14ac:dyDescent="0.25">
      <c r="A86" s="121" t="s">
        <v>864</v>
      </c>
      <c r="B86" s="168"/>
      <c r="C86" s="244"/>
      <c r="D86" s="39"/>
      <c r="E86" s="39"/>
      <c r="F86" s="38" t="s">
        <v>723</v>
      </c>
      <c r="G86" s="39"/>
      <c r="H86" s="103"/>
      <c r="I86" s="43"/>
    </row>
    <row r="87" spans="1:9" ht="13" x14ac:dyDescent="0.25">
      <c r="A87" s="121" t="s">
        <v>865</v>
      </c>
      <c r="B87" s="168"/>
      <c r="C87" s="244"/>
      <c r="D87" s="39"/>
      <c r="E87" s="39"/>
      <c r="F87" s="38" t="s">
        <v>866</v>
      </c>
      <c r="G87" s="39"/>
      <c r="H87" s="103"/>
      <c r="I87" s="43"/>
    </row>
    <row r="88" spans="1:9" ht="13" x14ac:dyDescent="0.25">
      <c r="A88" s="121" t="s">
        <v>867</v>
      </c>
      <c r="B88" s="168"/>
      <c r="C88" s="244"/>
      <c r="D88" s="39"/>
      <c r="E88" s="39"/>
      <c r="F88" s="38" t="s">
        <v>868</v>
      </c>
      <c r="G88" s="39"/>
      <c r="H88" s="103"/>
      <c r="I88" s="43"/>
    </row>
    <row r="89" spans="1:9" ht="13" x14ac:dyDescent="0.25">
      <c r="A89" s="121" t="s">
        <v>869</v>
      </c>
      <c r="B89" s="168"/>
      <c r="C89" s="168"/>
      <c r="D89" s="39"/>
      <c r="E89" s="39"/>
      <c r="F89" s="38" t="s">
        <v>870</v>
      </c>
      <c r="G89" s="39"/>
      <c r="H89" s="103"/>
      <c r="I89" s="43"/>
    </row>
    <row r="90" spans="1:9" ht="25" x14ac:dyDescent="0.25">
      <c r="A90" s="121" t="s">
        <v>871</v>
      </c>
      <c r="B90" s="168"/>
      <c r="C90" s="168"/>
      <c r="D90" s="39"/>
      <c r="E90" s="39"/>
      <c r="F90" s="38" t="s">
        <v>694</v>
      </c>
      <c r="G90" s="39" t="s">
        <v>692</v>
      </c>
      <c r="H90" s="103"/>
      <c r="I90" s="43"/>
    </row>
    <row r="91" spans="1:9" ht="13" x14ac:dyDescent="0.25">
      <c r="A91" s="121" t="s">
        <v>872</v>
      </c>
      <c r="B91" s="168"/>
      <c r="C91" s="168"/>
      <c r="D91" s="39"/>
      <c r="E91" s="39"/>
      <c r="F91" s="38" t="s">
        <v>783</v>
      </c>
      <c r="G91" s="39"/>
      <c r="H91" s="103"/>
      <c r="I91" s="43"/>
    </row>
    <row r="92" spans="1:9" ht="13" x14ac:dyDescent="0.25">
      <c r="A92" s="121" t="s">
        <v>875</v>
      </c>
      <c r="B92" s="168"/>
      <c r="C92" s="168"/>
      <c r="D92" s="39" t="s">
        <v>874</v>
      </c>
      <c r="E92" s="39"/>
      <c r="F92" s="38" t="s">
        <v>644</v>
      </c>
      <c r="G92" s="39"/>
      <c r="H92" s="103"/>
      <c r="I92" s="43"/>
    </row>
    <row r="93" spans="1:9" ht="13" x14ac:dyDescent="0.25">
      <c r="A93" s="121" t="s">
        <v>876</v>
      </c>
      <c r="B93" s="168"/>
      <c r="C93" s="168"/>
      <c r="D93" s="39"/>
      <c r="E93" s="39"/>
      <c r="F93" s="38" t="s">
        <v>650</v>
      </c>
      <c r="G93" s="39"/>
      <c r="H93" s="103"/>
      <c r="I93" s="43"/>
    </row>
    <row r="94" spans="1:9" ht="13.25" customHeight="1" x14ac:dyDescent="0.25">
      <c r="A94" s="121" t="s">
        <v>877</v>
      </c>
      <c r="B94" s="168"/>
      <c r="C94" s="168"/>
      <c r="D94" s="39"/>
      <c r="E94" s="39"/>
      <c r="F94" s="38" t="s">
        <v>878</v>
      </c>
      <c r="G94" s="39"/>
      <c r="H94" s="103"/>
      <c r="I94" s="43"/>
    </row>
    <row r="95" spans="1:9" ht="13" x14ac:dyDescent="0.25">
      <c r="A95" s="121" t="s">
        <v>879</v>
      </c>
      <c r="B95" s="168"/>
      <c r="C95" s="168"/>
      <c r="D95" s="39"/>
      <c r="E95" s="39"/>
      <c r="F95" s="38" t="s">
        <v>880</v>
      </c>
      <c r="G95" s="39"/>
      <c r="H95" s="103"/>
      <c r="I95" s="43"/>
    </row>
    <row r="96" spans="1:9" ht="13" x14ac:dyDescent="0.25">
      <c r="A96" s="121" t="s">
        <v>881</v>
      </c>
      <c r="B96" s="168"/>
      <c r="C96" s="168"/>
      <c r="D96" s="39"/>
      <c r="E96" s="39"/>
      <c r="F96" s="38" t="s">
        <v>882</v>
      </c>
      <c r="G96" s="39"/>
      <c r="H96" s="103"/>
      <c r="I96" s="43"/>
    </row>
    <row r="97" spans="1:9" ht="13.25" customHeight="1" x14ac:dyDescent="0.25">
      <c r="A97" s="121" t="s">
        <v>883</v>
      </c>
      <c r="B97" s="168"/>
      <c r="C97" s="168"/>
      <c r="D97" s="39"/>
      <c r="E97" s="39"/>
      <c r="F97" s="38" t="s">
        <v>781</v>
      </c>
      <c r="G97" s="39"/>
      <c r="H97" s="103"/>
      <c r="I97" s="43"/>
    </row>
    <row r="98" spans="1:9" ht="13" x14ac:dyDescent="0.25">
      <c r="A98" s="121" t="s">
        <v>884</v>
      </c>
      <c r="B98" s="168"/>
      <c r="C98" s="168"/>
      <c r="D98" s="39"/>
      <c r="E98" s="39"/>
      <c r="F98" s="38" t="s">
        <v>868</v>
      </c>
      <c r="G98" s="39"/>
      <c r="H98" s="103"/>
      <c r="I98" s="43"/>
    </row>
    <row r="99" spans="1:9" ht="13" x14ac:dyDescent="0.25">
      <c r="A99" s="121" t="s">
        <v>885</v>
      </c>
      <c r="B99" s="168"/>
      <c r="C99" s="168"/>
      <c r="D99" s="39"/>
      <c r="E99" s="39"/>
      <c r="F99" s="38" t="s">
        <v>870</v>
      </c>
      <c r="G99" s="39"/>
      <c r="H99" s="103"/>
      <c r="I99" s="43"/>
    </row>
    <row r="100" spans="1:9" ht="13" x14ac:dyDescent="0.25">
      <c r="A100" s="121" t="s">
        <v>886</v>
      </c>
      <c r="B100" s="168"/>
      <c r="C100" s="168"/>
      <c r="D100" s="39"/>
      <c r="E100" s="39"/>
      <c r="F100" s="38" t="s">
        <v>887</v>
      </c>
      <c r="G100" s="39"/>
      <c r="H100" s="103"/>
      <c r="I100" s="43"/>
    </row>
    <row r="101" spans="1:9" ht="13" x14ac:dyDescent="0.25">
      <c r="A101" s="121" t="s">
        <v>888</v>
      </c>
      <c r="B101" s="168"/>
      <c r="C101" s="168"/>
      <c r="D101" s="39"/>
      <c r="E101" s="39"/>
      <c r="F101" s="38" t="s">
        <v>889</v>
      </c>
      <c r="G101" s="39"/>
      <c r="H101" s="103"/>
      <c r="I101" s="43"/>
    </row>
    <row r="102" spans="1:9" ht="13" x14ac:dyDescent="0.25">
      <c r="A102" s="121" t="s">
        <v>894</v>
      </c>
      <c r="B102" s="167" t="s">
        <v>890</v>
      </c>
      <c r="C102" s="243" t="s">
        <v>891</v>
      </c>
      <c r="D102" s="39" t="s">
        <v>893</v>
      </c>
      <c r="E102" s="39"/>
      <c r="F102" s="38" t="s">
        <v>895</v>
      </c>
      <c r="G102" s="39"/>
      <c r="H102" s="103"/>
      <c r="I102" s="43"/>
    </row>
    <row r="103" spans="1:9" ht="13" x14ac:dyDescent="0.25">
      <c r="A103" s="121" t="s">
        <v>896</v>
      </c>
      <c r="B103" s="168"/>
      <c r="C103" s="244"/>
      <c r="D103" s="39"/>
      <c r="E103" s="39"/>
      <c r="F103" s="38" t="s">
        <v>897</v>
      </c>
      <c r="G103" s="39"/>
      <c r="H103" s="103"/>
      <c r="I103" s="43"/>
    </row>
    <row r="104" spans="1:9" ht="26.75" customHeight="1" x14ac:dyDescent="0.25">
      <c r="A104" s="121" t="s">
        <v>898</v>
      </c>
      <c r="B104" s="168"/>
      <c r="C104" s="244"/>
      <c r="D104" s="39"/>
      <c r="E104" s="39"/>
      <c r="F104" s="38" t="s">
        <v>899</v>
      </c>
      <c r="G104" s="39"/>
      <c r="H104" s="103"/>
      <c r="I104" s="43"/>
    </row>
    <row r="105" spans="1:9" ht="13.25" customHeight="1" x14ac:dyDescent="0.25">
      <c r="A105" s="121" t="s">
        <v>900</v>
      </c>
      <c r="B105" s="168"/>
      <c r="C105" s="244"/>
      <c r="D105" s="39"/>
      <c r="E105" s="39"/>
      <c r="F105" s="38" t="s">
        <v>741</v>
      </c>
      <c r="G105" s="39"/>
      <c r="H105" s="103"/>
      <c r="I105" s="43"/>
    </row>
    <row r="106" spans="1:9" ht="25" x14ac:dyDescent="0.25">
      <c r="A106" s="121" t="s">
        <v>901</v>
      </c>
      <c r="B106" s="168"/>
      <c r="C106" s="244"/>
      <c r="D106" s="39"/>
      <c r="E106" s="39"/>
      <c r="F106" s="38" t="s">
        <v>902</v>
      </c>
      <c r="G106" s="39" t="s">
        <v>903</v>
      </c>
      <c r="H106" s="103"/>
      <c r="I106" s="43"/>
    </row>
    <row r="107" spans="1:9" ht="13" x14ac:dyDescent="0.25">
      <c r="A107" s="121" t="s">
        <v>904</v>
      </c>
      <c r="B107" s="168"/>
      <c r="C107" s="244"/>
      <c r="D107" s="39"/>
      <c r="E107" s="39"/>
      <c r="F107" s="38" t="s">
        <v>905</v>
      </c>
      <c r="G107" s="39" t="s">
        <v>906</v>
      </c>
      <c r="H107" s="103"/>
      <c r="I107" s="43"/>
    </row>
    <row r="108" spans="1:9" ht="13" x14ac:dyDescent="0.25">
      <c r="A108" s="121" t="s">
        <v>907</v>
      </c>
      <c r="B108" s="168"/>
      <c r="C108" s="168"/>
      <c r="D108" s="39"/>
      <c r="E108" s="39"/>
      <c r="F108" s="38" t="s">
        <v>870</v>
      </c>
      <c r="G108" s="39"/>
      <c r="H108" s="103"/>
      <c r="I108" s="43"/>
    </row>
    <row r="109" spans="1:9" ht="13" x14ac:dyDescent="0.25">
      <c r="A109" s="121" t="s">
        <v>908</v>
      </c>
      <c r="B109" s="168"/>
      <c r="C109" s="168"/>
      <c r="D109" s="39"/>
      <c r="E109" s="39"/>
      <c r="F109" s="38" t="s">
        <v>909</v>
      </c>
      <c r="G109" s="39" t="s">
        <v>910</v>
      </c>
      <c r="H109" s="103"/>
      <c r="I109" s="43"/>
    </row>
    <row r="110" spans="1:9" ht="13.25" customHeight="1" x14ac:dyDescent="0.25">
      <c r="A110" s="121" t="s">
        <v>913</v>
      </c>
      <c r="B110" s="168"/>
      <c r="C110" s="168"/>
      <c r="D110" s="39" t="s">
        <v>912</v>
      </c>
      <c r="E110" s="39"/>
      <c r="F110" s="38" t="s">
        <v>644</v>
      </c>
      <c r="G110" s="39"/>
      <c r="H110" s="103"/>
      <c r="I110" s="43"/>
    </row>
    <row r="111" spans="1:9" ht="37.5" x14ac:dyDescent="0.25">
      <c r="A111" s="121" t="s">
        <v>914</v>
      </c>
      <c r="B111" s="168"/>
      <c r="C111" s="168"/>
      <c r="D111" s="39"/>
      <c r="E111" s="39"/>
      <c r="F111" s="38" t="s">
        <v>915</v>
      </c>
      <c r="G111" s="39" t="s">
        <v>916</v>
      </c>
      <c r="H111" s="103"/>
      <c r="I111" s="43"/>
    </row>
    <row r="112" spans="1:9" ht="13" x14ac:dyDescent="0.25">
      <c r="A112" s="121" t="s">
        <v>917</v>
      </c>
      <c r="B112" s="168"/>
      <c r="C112" s="168"/>
      <c r="D112" s="39"/>
      <c r="E112" s="39"/>
      <c r="F112" s="38" t="s">
        <v>635</v>
      </c>
      <c r="G112" s="39"/>
      <c r="H112" s="103"/>
      <c r="I112" s="43"/>
    </row>
    <row r="113" spans="1:9" ht="13" x14ac:dyDescent="0.25">
      <c r="A113" s="121" t="s">
        <v>918</v>
      </c>
      <c r="B113" s="168"/>
      <c r="C113" s="168"/>
      <c r="D113" s="39"/>
      <c r="E113" s="39"/>
      <c r="F113" s="38" t="s">
        <v>650</v>
      </c>
      <c r="G113" s="39"/>
      <c r="H113" s="103"/>
      <c r="I113" s="43"/>
    </row>
    <row r="114" spans="1:9" ht="13" x14ac:dyDescent="0.25">
      <c r="A114" s="121" t="s">
        <v>919</v>
      </c>
      <c r="B114" s="168"/>
      <c r="C114" s="168"/>
      <c r="D114" s="39"/>
      <c r="E114" s="39"/>
      <c r="F114" s="38" t="s">
        <v>880</v>
      </c>
      <c r="G114" s="39"/>
      <c r="H114" s="103"/>
      <c r="I114" s="43"/>
    </row>
    <row r="115" spans="1:9" ht="13" x14ac:dyDescent="0.25">
      <c r="A115" s="121" t="s">
        <v>920</v>
      </c>
      <c r="B115" s="168"/>
      <c r="C115" s="168"/>
      <c r="D115" s="39"/>
      <c r="E115" s="39"/>
      <c r="F115" s="38" t="s">
        <v>882</v>
      </c>
      <c r="G115" s="39"/>
      <c r="H115" s="103"/>
      <c r="I115" s="43"/>
    </row>
    <row r="116" spans="1:9" ht="13.25" customHeight="1" x14ac:dyDescent="0.25">
      <c r="A116" s="121" t="s">
        <v>921</v>
      </c>
      <c r="B116" s="168"/>
      <c r="C116" s="168"/>
      <c r="D116" s="39"/>
      <c r="E116" s="39"/>
      <c r="F116" s="38" t="s">
        <v>781</v>
      </c>
      <c r="G116" s="39"/>
      <c r="H116" s="103"/>
      <c r="I116" s="43"/>
    </row>
    <row r="117" spans="1:9" ht="13.25" customHeight="1" x14ac:dyDescent="0.25">
      <c r="A117" s="121" t="s">
        <v>922</v>
      </c>
      <c r="B117" s="168"/>
      <c r="C117" s="168"/>
      <c r="D117" s="39"/>
      <c r="E117" s="39"/>
      <c r="F117" s="38" t="s">
        <v>721</v>
      </c>
      <c r="G117" s="39"/>
      <c r="H117" s="103"/>
      <c r="I117" s="43"/>
    </row>
    <row r="118" spans="1:9" ht="13.25" customHeight="1" x14ac:dyDescent="0.25">
      <c r="A118" s="121" t="s">
        <v>923</v>
      </c>
      <c r="B118" s="168"/>
      <c r="C118" s="168"/>
      <c r="D118" s="39"/>
      <c r="E118" s="39"/>
      <c r="F118" s="38" t="s">
        <v>897</v>
      </c>
      <c r="G118" s="39"/>
      <c r="H118" s="103"/>
      <c r="I118" s="43"/>
    </row>
    <row r="119" spans="1:9" ht="13" x14ac:dyDescent="0.25">
      <c r="A119" s="121" t="s">
        <v>924</v>
      </c>
      <c r="B119" s="168"/>
      <c r="C119" s="168"/>
      <c r="D119" s="39"/>
      <c r="E119" s="39"/>
      <c r="F119" s="38" t="s">
        <v>925</v>
      </c>
      <c r="G119" s="39"/>
      <c r="H119" s="103"/>
      <c r="I119" s="43"/>
    </row>
    <row r="120" spans="1:9" ht="13" x14ac:dyDescent="0.25">
      <c r="A120" s="121" t="s">
        <v>926</v>
      </c>
      <c r="B120" s="168"/>
      <c r="C120" s="168"/>
      <c r="D120" s="39"/>
      <c r="E120" s="39"/>
      <c r="F120" s="38" t="s">
        <v>870</v>
      </c>
      <c r="G120" s="39"/>
      <c r="H120" s="103"/>
      <c r="I120" s="43"/>
    </row>
    <row r="121" spans="1:9" ht="13" x14ac:dyDescent="0.25">
      <c r="A121" s="121" t="s">
        <v>927</v>
      </c>
      <c r="B121" s="168"/>
      <c r="C121" s="168"/>
      <c r="D121" s="39"/>
      <c r="E121" s="39"/>
      <c r="F121" s="38" t="s">
        <v>928</v>
      </c>
      <c r="G121" s="39"/>
      <c r="H121" s="103"/>
      <c r="I121" s="43"/>
    </row>
    <row r="122" spans="1:9" ht="13" x14ac:dyDescent="0.25">
      <c r="A122" s="121" t="s">
        <v>929</v>
      </c>
      <c r="B122" s="168"/>
      <c r="C122" s="168"/>
      <c r="D122" s="39"/>
      <c r="E122" s="39"/>
      <c r="F122" s="38" t="s">
        <v>930</v>
      </c>
      <c r="G122" s="39"/>
      <c r="H122" s="103"/>
      <c r="I122" s="43"/>
    </row>
    <row r="123" spans="1:9" ht="25.5" x14ac:dyDescent="0.3">
      <c r="A123" s="121" t="s">
        <v>933</v>
      </c>
      <c r="B123" s="168"/>
      <c r="C123" s="168"/>
      <c r="D123" s="39" t="s">
        <v>932</v>
      </c>
      <c r="E123" s="39"/>
      <c r="F123" s="127" t="s">
        <v>694</v>
      </c>
      <c r="G123" s="39" t="s">
        <v>692</v>
      </c>
      <c r="H123" s="103"/>
      <c r="I123" s="43"/>
    </row>
    <row r="124" spans="1:9" ht="13.25" customHeight="1" x14ac:dyDescent="0.25">
      <c r="A124" s="121" t="s">
        <v>935</v>
      </c>
      <c r="B124" s="173"/>
      <c r="C124" s="173"/>
      <c r="D124" s="39" t="s">
        <v>785</v>
      </c>
      <c r="E124" s="39"/>
      <c r="F124" s="38" t="s">
        <v>936</v>
      </c>
      <c r="G124" s="39"/>
      <c r="H124" s="103"/>
      <c r="I124" s="43"/>
    </row>
    <row r="125" spans="1:9" ht="13" x14ac:dyDescent="0.25">
      <c r="A125" s="121" t="s">
        <v>941</v>
      </c>
      <c r="B125" s="168" t="s">
        <v>937</v>
      </c>
      <c r="C125" s="243" t="s">
        <v>938</v>
      </c>
      <c r="D125" s="39" t="s">
        <v>940</v>
      </c>
      <c r="E125" s="39"/>
      <c r="F125" s="38" t="s">
        <v>942</v>
      </c>
      <c r="G125" s="39"/>
      <c r="H125" s="103"/>
      <c r="I125" s="43"/>
    </row>
    <row r="126" spans="1:9" ht="13" x14ac:dyDescent="0.25">
      <c r="A126" s="121" t="s">
        <v>943</v>
      </c>
      <c r="B126" s="168"/>
      <c r="C126" s="244"/>
      <c r="D126" s="39"/>
      <c r="E126" s="39"/>
      <c r="F126" s="38" t="s">
        <v>944</v>
      </c>
      <c r="G126" s="39"/>
      <c r="H126" s="103"/>
      <c r="I126" s="43"/>
    </row>
    <row r="127" spans="1:9" ht="25" x14ac:dyDescent="0.25">
      <c r="A127" s="121" t="s">
        <v>945</v>
      </c>
      <c r="B127" s="168"/>
      <c r="C127" s="244"/>
      <c r="D127" s="39"/>
      <c r="E127" s="39"/>
      <c r="F127" s="38" t="s">
        <v>946</v>
      </c>
      <c r="G127" s="39" t="s">
        <v>947</v>
      </c>
      <c r="H127" s="103"/>
      <c r="I127" s="43"/>
    </row>
    <row r="128" spans="1:9" ht="25" x14ac:dyDescent="0.25">
      <c r="A128" s="121" t="s">
        <v>948</v>
      </c>
      <c r="B128" s="168"/>
      <c r="C128" s="168"/>
      <c r="D128" s="39"/>
      <c r="E128" s="39"/>
      <c r="F128" s="38" t="s">
        <v>949</v>
      </c>
      <c r="G128" s="39" t="s">
        <v>950</v>
      </c>
      <c r="H128" s="103"/>
      <c r="I128" s="43"/>
    </row>
    <row r="129" spans="1:9" ht="13.25" customHeight="1" x14ac:dyDescent="0.25">
      <c r="A129" s="121" t="s">
        <v>951</v>
      </c>
      <c r="B129" s="168"/>
      <c r="C129" s="168"/>
      <c r="D129" s="39"/>
      <c r="E129" s="39"/>
      <c r="F129" s="38" t="s">
        <v>952</v>
      </c>
      <c r="G129" s="39" t="s">
        <v>953</v>
      </c>
      <c r="H129" s="103"/>
      <c r="I129" s="43"/>
    </row>
    <row r="130" spans="1:9" ht="37.5" x14ac:dyDescent="0.25">
      <c r="A130" s="121" t="s">
        <v>954</v>
      </c>
      <c r="B130" s="168"/>
      <c r="C130" s="168"/>
      <c r="D130" s="39"/>
      <c r="E130" s="39"/>
      <c r="F130" s="38" t="s">
        <v>955</v>
      </c>
      <c r="G130" s="39" t="s">
        <v>956</v>
      </c>
      <c r="H130" s="103"/>
      <c r="I130" s="43"/>
    </row>
    <row r="131" spans="1:9" ht="25" x14ac:dyDescent="0.25">
      <c r="A131" s="121" t="s">
        <v>961</v>
      </c>
      <c r="B131" s="167" t="s">
        <v>957</v>
      </c>
      <c r="C131" s="167" t="s">
        <v>958</v>
      </c>
      <c r="D131" s="39" t="s">
        <v>58</v>
      </c>
      <c r="E131" s="39" t="s">
        <v>960</v>
      </c>
      <c r="F131" s="38" t="s">
        <v>925</v>
      </c>
      <c r="G131" s="39" t="s">
        <v>962</v>
      </c>
      <c r="H131" s="103"/>
      <c r="I131" s="43"/>
    </row>
    <row r="132" spans="1:9" ht="25" x14ac:dyDescent="0.25">
      <c r="A132" s="121" t="s">
        <v>963</v>
      </c>
      <c r="B132" s="168"/>
      <c r="C132" s="168"/>
      <c r="D132" s="39"/>
      <c r="E132" s="39"/>
      <c r="F132" s="38" t="s">
        <v>721</v>
      </c>
      <c r="G132" s="39" t="s">
        <v>964</v>
      </c>
      <c r="H132" s="103"/>
      <c r="I132" s="43"/>
    </row>
    <row r="133" spans="1:9" ht="13" x14ac:dyDescent="0.25">
      <c r="A133" s="121" t="s">
        <v>965</v>
      </c>
      <c r="B133" s="168"/>
      <c r="C133" s="168"/>
      <c r="D133" s="39"/>
      <c r="E133" s="39"/>
      <c r="F133" s="38" t="s">
        <v>723</v>
      </c>
      <c r="G133" s="39" t="s">
        <v>966</v>
      </c>
      <c r="H133" s="103"/>
      <c r="I133" s="43"/>
    </row>
    <row r="134" spans="1:9" ht="13" x14ac:dyDescent="0.25">
      <c r="A134" s="121" t="s">
        <v>967</v>
      </c>
      <c r="B134" s="168"/>
      <c r="C134" s="168"/>
      <c r="D134" s="39"/>
      <c r="E134" s="39"/>
      <c r="F134" s="38" t="s">
        <v>897</v>
      </c>
      <c r="G134" s="39"/>
      <c r="H134" s="103"/>
      <c r="I134" s="43"/>
    </row>
    <row r="135" spans="1:9" ht="13" x14ac:dyDescent="0.25">
      <c r="A135" s="121" t="s">
        <v>968</v>
      </c>
      <c r="B135" s="168"/>
      <c r="C135" s="168"/>
      <c r="D135" s="39"/>
      <c r="E135" s="39"/>
      <c r="F135" s="38" t="s">
        <v>969</v>
      </c>
      <c r="G135" s="39"/>
      <c r="H135" s="103"/>
      <c r="I135" s="43"/>
    </row>
    <row r="136" spans="1:9" ht="13" x14ac:dyDescent="0.25">
      <c r="A136" s="121" t="s">
        <v>970</v>
      </c>
      <c r="B136" s="168"/>
      <c r="C136" s="168"/>
      <c r="D136" s="39"/>
      <c r="E136" s="39"/>
      <c r="F136" s="38" t="s">
        <v>971</v>
      </c>
      <c r="G136" s="39"/>
      <c r="H136" s="103"/>
      <c r="I136" s="43"/>
    </row>
    <row r="137" spans="1:9" ht="13" x14ac:dyDescent="0.25">
      <c r="A137" s="121" t="s">
        <v>972</v>
      </c>
      <c r="B137" s="168"/>
      <c r="C137" s="168"/>
      <c r="D137" s="39"/>
      <c r="E137" s="39"/>
      <c r="F137" s="38" t="s">
        <v>930</v>
      </c>
      <c r="G137" s="39"/>
      <c r="H137" s="103"/>
      <c r="I137" s="43"/>
    </row>
    <row r="138" spans="1:9" ht="13.25" customHeight="1" x14ac:dyDescent="0.25">
      <c r="A138" s="121" t="s">
        <v>973</v>
      </c>
      <c r="B138" s="168"/>
      <c r="C138" s="168"/>
      <c r="D138" s="39"/>
      <c r="E138" s="39"/>
      <c r="F138" s="38" t="s">
        <v>870</v>
      </c>
      <c r="G138" s="39"/>
      <c r="H138" s="103"/>
      <c r="I138" s="43"/>
    </row>
    <row r="139" spans="1:9" ht="13" x14ac:dyDescent="0.25">
      <c r="A139" s="121" t="s">
        <v>974</v>
      </c>
      <c r="B139" s="168"/>
      <c r="C139" s="168"/>
      <c r="D139" s="39"/>
      <c r="E139" s="39"/>
      <c r="F139" s="38" t="s">
        <v>975</v>
      </c>
      <c r="G139" s="39"/>
      <c r="H139" s="103"/>
      <c r="I139" s="43"/>
    </row>
    <row r="140" spans="1:9" ht="38" x14ac:dyDescent="0.3">
      <c r="A140" s="121" t="s">
        <v>978</v>
      </c>
      <c r="B140" s="168"/>
      <c r="C140" s="168"/>
      <c r="D140" s="39" t="s">
        <v>932</v>
      </c>
      <c r="E140" s="39" t="s">
        <v>977</v>
      </c>
      <c r="F140" s="127" t="s">
        <v>694</v>
      </c>
      <c r="G140" s="39" t="s">
        <v>692</v>
      </c>
      <c r="H140" s="103"/>
      <c r="I140" s="43"/>
    </row>
    <row r="141" spans="1:9" ht="25.5" x14ac:dyDescent="0.3">
      <c r="A141" s="121" t="s">
        <v>981</v>
      </c>
      <c r="B141" s="168"/>
      <c r="C141" s="168"/>
      <c r="D141" s="39" t="s">
        <v>980</v>
      </c>
      <c r="E141" s="39"/>
      <c r="F141" s="127" t="s">
        <v>694</v>
      </c>
      <c r="G141" s="39" t="s">
        <v>692</v>
      </c>
      <c r="H141" s="103"/>
      <c r="I141" s="43"/>
    </row>
    <row r="142" spans="1:9" ht="13.25" customHeight="1" x14ac:dyDescent="0.25">
      <c r="A142" s="121" t="s">
        <v>984</v>
      </c>
      <c r="B142" s="168"/>
      <c r="C142" s="168"/>
      <c r="D142" s="39" t="s">
        <v>785</v>
      </c>
      <c r="E142" s="39" t="s">
        <v>983</v>
      </c>
      <c r="F142" s="38" t="s">
        <v>652</v>
      </c>
      <c r="G142" s="39"/>
      <c r="H142" s="103"/>
      <c r="I142" s="43"/>
    </row>
    <row r="143" spans="1:9" ht="13" x14ac:dyDescent="0.25">
      <c r="A143" s="121" t="s">
        <v>985</v>
      </c>
      <c r="B143" s="168"/>
      <c r="C143" s="168"/>
      <c r="D143" s="39"/>
      <c r="E143" s="39"/>
      <c r="F143" s="38" t="s">
        <v>986</v>
      </c>
      <c r="G143" s="39"/>
      <c r="H143" s="103"/>
      <c r="I143" s="43"/>
    </row>
    <row r="144" spans="1:9" ht="13" x14ac:dyDescent="0.25">
      <c r="A144" s="121" t="s">
        <v>987</v>
      </c>
      <c r="B144" s="168"/>
      <c r="C144" s="168"/>
      <c r="D144" s="39"/>
      <c r="E144" s="39"/>
      <c r="F144" s="38" t="s">
        <v>787</v>
      </c>
      <c r="G144" s="39"/>
      <c r="H144" s="103"/>
      <c r="I144" s="43"/>
    </row>
    <row r="145" spans="1:9" ht="13" x14ac:dyDescent="0.25">
      <c r="A145" s="121" t="s">
        <v>990</v>
      </c>
      <c r="B145" s="168"/>
      <c r="C145" s="168"/>
      <c r="D145" s="39" t="s">
        <v>989</v>
      </c>
      <c r="E145" s="39"/>
      <c r="F145" s="38" t="s">
        <v>783</v>
      </c>
      <c r="G145" s="39"/>
      <c r="H145" s="103"/>
      <c r="I145" s="43"/>
    </row>
    <row r="146" spans="1:9" ht="13" x14ac:dyDescent="0.25">
      <c r="A146" s="121" t="s">
        <v>991</v>
      </c>
      <c r="B146" s="168"/>
      <c r="C146" s="168"/>
      <c r="D146" s="39"/>
      <c r="E146" s="39"/>
      <c r="F146" s="38" t="s">
        <v>781</v>
      </c>
      <c r="G146" s="39"/>
      <c r="H146" s="103"/>
      <c r="I146" s="43"/>
    </row>
    <row r="147" spans="1:9" ht="13" x14ac:dyDescent="0.25">
      <c r="A147" s="121" t="s">
        <v>993</v>
      </c>
      <c r="B147" s="168"/>
      <c r="C147" s="168"/>
      <c r="D147" s="39" t="s">
        <v>61</v>
      </c>
      <c r="E147" s="39"/>
      <c r="F147" s="38" t="s">
        <v>644</v>
      </c>
      <c r="G147" s="39"/>
      <c r="H147" s="103"/>
      <c r="I147" s="43"/>
    </row>
    <row r="148" spans="1:9" ht="13" x14ac:dyDescent="0.25">
      <c r="A148" s="121" t="s">
        <v>994</v>
      </c>
      <c r="B148" s="168"/>
      <c r="C148" s="168"/>
      <c r="D148" s="39"/>
      <c r="E148" s="39"/>
      <c r="F148" s="38" t="s">
        <v>650</v>
      </c>
      <c r="G148" s="39"/>
      <c r="H148" s="103"/>
      <c r="I148" s="43"/>
    </row>
    <row r="149" spans="1:9" ht="13" x14ac:dyDescent="0.25">
      <c r="A149" s="121" t="s">
        <v>995</v>
      </c>
      <c r="B149" s="168"/>
      <c r="C149" s="168"/>
      <c r="D149" s="39"/>
      <c r="E149" s="39"/>
      <c r="F149" s="38" t="s">
        <v>878</v>
      </c>
      <c r="G149" s="39"/>
      <c r="H149" s="103"/>
      <c r="I149" s="43"/>
    </row>
    <row r="150" spans="1:9" ht="13" x14ac:dyDescent="0.25">
      <c r="A150" s="121" t="s">
        <v>996</v>
      </c>
      <c r="B150" s="168"/>
      <c r="C150" s="168"/>
      <c r="D150" s="39"/>
      <c r="E150" s="39"/>
      <c r="F150" s="38" t="s">
        <v>882</v>
      </c>
      <c r="G150" s="39"/>
      <c r="H150" s="103"/>
      <c r="I150" s="43"/>
    </row>
    <row r="151" spans="1:9" ht="13" x14ac:dyDescent="0.25">
      <c r="A151" s="121" t="s">
        <v>997</v>
      </c>
      <c r="B151" s="168"/>
      <c r="C151" s="168"/>
      <c r="D151" s="39"/>
      <c r="E151" s="39"/>
      <c r="F151" s="38" t="s">
        <v>998</v>
      </c>
      <c r="G151" s="39"/>
      <c r="H151" s="103"/>
      <c r="I151" s="43"/>
    </row>
    <row r="152" spans="1:9" ht="13" x14ac:dyDescent="0.25">
      <c r="A152" s="121" t="s">
        <v>999</v>
      </c>
      <c r="B152" s="168"/>
      <c r="C152" s="168"/>
      <c r="D152" s="39"/>
      <c r="E152" s="39"/>
      <c r="F152" s="38" t="s">
        <v>652</v>
      </c>
      <c r="G152" s="39"/>
      <c r="H152" s="103"/>
      <c r="I152" s="43"/>
    </row>
    <row r="153" spans="1:9" ht="13" x14ac:dyDescent="0.25">
      <c r="A153" s="121" t="s">
        <v>1000</v>
      </c>
      <c r="B153" s="168"/>
      <c r="C153" s="168"/>
      <c r="D153" s="39"/>
      <c r="E153" s="39"/>
      <c r="F153" s="38" t="s">
        <v>971</v>
      </c>
      <c r="G153" s="39"/>
      <c r="H153" s="103"/>
      <c r="I153" s="43"/>
    </row>
    <row r="154" spans="1:9" ht="13" x14ac:dyDescent="0.25">
      <c r="A154" s="121" t="s">
        <v>1001</v>
      </c>
      <c r="B154" s="168"/>
      <c r="C154" s="168"/>
      <c r="D154" s="39"/>
      <c r="E154" s="39"/>
      <c r="F154" s="38" t="s">
        <v>930</v>
      </c>
      <c r="G154" s="39"/>
      <c r="H154" s="103"/>
      <c r="I154" s="43"/>
    </row>
    <row r="155" spans="1:9" ht="25.5" x14ac:dyDescent="0.3">
      <c r="A155" s="121" t="s">
        <v>1005</v>
      </c>
      <c r="B155" s="168"/>
      <c r="C155" s="168"/>
      <c r="D155" s="39" t="s">
        <v>1003</v>
      </c>
      <c r="E155" s="39" t="s">
        <v>1004</v>
      </c>
      <c r="F155" s="127" t="s">
        <v>694</v>
      </c>
      <c r="G155" s="39" t="s">
        <v>692</v>
      </c>
      <c r="H155" s="103"/>
      <c r="I155" s="43"/>
    </row>
    <row r="156" spans="1:9" ht="37.5" x14ac:dyDescent="0.25">
      <c r="A156" s="121" t="s">
        <v>1009</v>
      </c>
      <c r="B156" s="168"/>
      <c r="C156" s="168"/>
      <c r="D156" s="39" t="s">
        <v>1007</v>
      </c>
      <c r="E156" s="39" t="s">
        <v>1008</v>
      </c>
      <c r="F156" s="38" t="s">
        <v>1010</v>
      </c>
      <c r="G156" s="39"/>
      <c r="H156" s="103"/>
      <c r="I156" s="43"/>
    </row>
    <row r="157" spans="1:9" ht="13" x14ac:dyDescent="0.25">
      <c r="A157" s="121" t="s">
        <v>1011</v>
      </c>
      <c r="B157" s="168"/>
      <c r="C157" s="168"/>
      <c r="D157" s="39"/>
      <c r="E157" s="39"/>
      <c r="F157" s="38" t="s">
        <v>1012</v>
      </c>
      <c r="G157" s="39"/>
      <c r="H157" s="103"/>
      <c r="I157" s="43"/>
    </row>
    <row r="158" spans="1:9" ht="13" x14ac:dyDescent="0.25">
      <c r="A158" s="121" t="s">
        <v>1013</v>
      </c>
      <c r="B158" s="168"/>
      <c r="C158" s="168"/>
      <c r="D158" s="39"/>
      <c r="E158" s="39"/>
      <c r="F158" s="38" t="s">
        <v>1014</v>
      </c>
      <c r="G158" s="39"/>
      <c r="H158" s="103"/>
      <c r="I158" s="43"/>
    </row>
    <row r="159" spans="1:9" ht="25" x14ac:dyDescent="0.25">
      <c r="A159" s="121" t="s">
        <v>1015</v>
      </c>
      <c r="B159" s="168"/>
      <c r="C159" s="168"/>
      <c r="D159" s="39"/>
      <c r="E159" s="39"/>
      <c r="F159" s="38" t="s">
        <v>1016</v>
      </c>
      <c r="G159" s="39" t="s">
        <v>1017</v>
      </c>
      <c r="H159" s="103"/>
      <c r="I159" s="43"/>
    </row>
    <row r="160" spans="1:9" ht="13" x14ac:dyDescent="0.25">
      <c r="A160" s="121" t="s">
        <v>1018</v>
      </c>
      <c r="B160" s="168"/>
      <c r="C160" s="168"/>
      <c r="D160" s="39"/>
      <c r="E160" s="39"/>
      <c r="F160" s="38" t="s">
        <v>1019</v>
      </c>
      <c r="G160" s="39"/>
      <c r="H160" s="103"/>
      <c r="I160" s="43"/>
    </row>
    <row r="161" spans="1:9" ht="13" x14ac:dyDescent="0.25">
      <c r="A161" s="121" t="s">
        <v>1020</v>
      </c>
      <c r="B161" s="168"/>
      <c r="C161" s="168"/>
      <c r="D161" s="39"/>
      <c r="E161" s="39"/>
      <c r="F161" s="38" t="s">
        <v>1021</v>
      </c>
      <c r="G161" s="39"/>
      <c r="H161" s="103"/>
      <c r="I161" s="43"/>
    </row>
    <row r="162" spans="1:9" ht="13" x14ac:dyDescent="0.25">
      <c r="A162" s="121" t="s">
        <v>1023</v>
      </c>
      <c r="B162" s="168"/>
      <c r="C162" s="168"/>
      <c r="D162" s="39" t="s">
        <v>785</v>
      </c>
      <c r="E162" s="39"/>
      <c r="F162" s="38" t="s">
        <v>652</v>
      </c>
      <c r="G162" s="39"/>
      <c r="H162" s="103"/>
      <c r="I162" s="43"/>
    </row>
    <row r="163" spans="1:9" ht="13.25" customHeight="1" x14ac:dyDescent="0.25">
      <c r="A163" s="121" t="s">
        <v>1026</v>
      </c>
      <c r="B163" s="168"/>
      <c r="C163" s="168"/>
      <c r="D163" s="39" t="s">
        <v>1025</v>
      </c>
      <c r="E163" s="39"/>
      <c r="F163" s="38" t="s">
        <v>870</v>
      </c>
      <c r="G163" s="39"/>
      <c r="H163" s="103"/>
      <c r="I163" s="43"/>
    </row>
    <row r="164" spans="1:9" ht="13" x14ac:dyDescent="0.25">
      <c r="A164" s="121" t="s">
        <v>1027</v>
      </c>
      <c r="B164" s="168"/>
      <c r="C164" s="45"/>
      <c r="D164" s="39"/>
      <c r="E164" s="39"/>
      <c r="F164" s="38" t="s">
        <v>928</v>
      </c>
      <c r="G164" s="39" t="s">
        <v>1028</v>
      </c>
      <c r="H164" s="103"/>
      <c r="I164" s="43"/>
    </row>
    <row r="165" spans="1:9" ht="13" x14ac:dyDescent="0.25">
      <c r="A165" s="121" t="s">
        <v>1032</v>
      </c>
      <c r="B165" s="167" t="s">
        <v>1029</v>
      </c>
      <c r="C165" s="243" t="s">
        <v>1030</v>
      </c>
      <c r="D165" s="39" t="s">
        <v>940</v>
      </c>
      <c r="E165" s="39"/>
      <c r="F165" s="38" t="s">
        <v>942</v>
      </c>
      <c r="G165" s="39"/>
      <c r="H165" s="103"/>
      <c r="I165" s="43"/>
    </row>
    <row r="166" spans="1:9" ht="13" x14ac:dyDescent="0.25">
      <c r="A166" s="121" t="s">
        <v>1033</v>
      </c>
      <c r="B166" s="168"/>
      <c r="C166" s="244"/>
      <c r="D166" s="39"/>
      <c r="E166" s="39"/>
      <c r="F166" s="38" t="s">
        <v>944</v>
      </c>
      <c r="G166" s="39"/>
      <c r="H166" s="103"/>
      <c r="I166" s="43"/>
    </row>
    <row r="167" spans="1:9" ht="25" x14ac:dyDescent="0.25">
      <c r="A167" s="121" t="s">
        <v>1034</v>
      </c>
      <c r="B167" s="168"/>
      <c r="C167" s="244"/>
      <c r="D167" s="39"/>
      <c r="E167" s="39"/>
      <c r="F167" s="38" t="s">
        <v>946</v>
      </c>
      <c r="G167" s="39" t="s">
        <v>947</v>
      </c>
      <c r="H167" s="103"/>
      <c r="I167" s="43"/>
    </row>
    <row r="168" spans="1:9" ht="25" x14ac:dyDescent="0.25">
      <c r="A168" s="121" t="s">
        <v>1035</v>
      </c>
      <c r="B168" s="168"/>
      <c r="C168" s="45"/>
      <c r="D168" s="39"/>
      <c r="E168" s="39"/>
      <c r="F168" s="38" t="s">
        <v>949</v>
      </c>
      <c r="G168" s="39" t="s">
        <v>950</v>
      </c>
      <c r="H168" s="103"/>
      <c r="I168" s="43"/>
    </row>
    <row r="169" spans="1:9" ht="25" x14ac:dyDescent="0.25">
      <c r="A169" s="121" t="s">
        <v>1036</v>
      </c>
      <c r="B169" s="168"/>
      <c r="C169" s="45"/>
      <c r="D169" s="39"/>
      <c r="E169" s="39"/>
      <c r="F169" s="38" t="s">
        <v>952</v>
      </c>
      <c r="G169" s="39" t="s">
        <v>1037</v>
      </c>
      <c r="H169" s="103"/>
      <c r="I169" s="43"/>
    </row>
    <row r="170" spans="1:9" ht="37.5" x14ac:dyDescent="0.25">
      <c r="A170" s="121" t="s">
        <v>1038</v>
      </c>
      <c r="B170" s="168"/>
      <c r="C170" s="45"/>
      <c r="D170" s="39"/>
      <c r="E170" s="39"/>
      <c r="F170" s="38" t="s">
        <v>955</v>
      </c>
      <c r="G170" s="39" t="s">
        <v>1039</v>
      </c>
      <c r="H170" s="103"/>
      <c r="I170" s="43"/>
    </row>
    <row r="171" spans="1:9" ht="25" x14ac:dyDescent="0.25">
      <c r="A171" s="121" t="s">
        <v>1044</v>
      </c>
      <c r="B171" s="167" t="s">
        <v>1040</v>
      </c>
      <c r="C171" s="169" t="s">
        <v>1041</v>
      </c>
      <c r="D171" s="39" t="s">
        <v>1043</v>
      </c>
      <c r="E171" s="39"/>
      <c r="F171" s="38" t="s">
        <v>1045</v>
      </c>
      <c r="G171" s="39" t="s">
        <v>1046</v>
      </c>
      <c r="H171" s="103"/>
      <c r="I171" s="43"/>
    </row>
    <row r="172" spans="1:9" ht="13" x14ac:dyDescent="0.25">
      <c r="A172" s="121" t="s">
        <v>1047</v>
      </c>
      <c r="B172" s="168"/>
      <c r="C172" s="170"/>
      <c r="D172" s="39"/>
      <c r="E172" s="39"/>
      <c r="F172" s="38" t="s">
        <v>721</v>
      </c>
      <c r="G172" s="39"/>
      <c r="H172" s="103"/>
      <c r="I172" s="43"/>
    </row>
    <row r="173" spans="1:9" ht="13" x14ac:dyDescent="0.25">
      <c r="A173" s="121" t="s">
        <v>1048</v>
      </c>
      <c r="B173" s="168"/>
      <c r="C173" s="170"/>
      <c r="D173" s="39"/>
      <c r="E173" s="39"/>
      <c r="F173" s="38" t="s">
        <v>1049</v>
      </c>
      <c r="G173" s="39"/>
      <c r="H173" s="103"/>
      <c r="I173" s="43"/>
    </row>
    <row r="174" spans="1:9" ht="25.5" x14ac:dyDescent="0.3">
      <c r="A174" s="121" t="s">
        <v>1051</v>
      </c>
      <c r="B174" s="168"/>
      <c r="C174" s="170"/>
      <c r="D174" s="39" t="s">
        <v>980</v>
      </c>
      <c r="E174" s="39"/>
      <c r="F174" s="127" t="s">
        <v>694</v>
      </c>
      <c r="G174" s="39" t="s">
        <v>692</v>
      </c>
      <c r="H174" s="103"/>
      <c r="I174" s="43"/>
    </row>
    <row r="175" spans="1:9" ht="13" x14ac:dyDescent="0.25">
      <c r="A175" s="121" t="s">
        <v>1053</v>
      </c>
      <c r="B175" s="168"/>
      <c r="C175" s="170"/>
      <c r="D175" s="39" t="s">
        <v>989</v>
      </c>
      <c r="E175" s="39"/>
      <c r="F175" s="38" t="s">
        <v>783</v>
      </c>
      <c r="G175" s="39"/>
      <c r="H175" s="103"/>
      <c r="I175" s="43"/>
    </row>
    <row r="176" spans="1:9" ht="13" x14ac:dyDescent="0.25">
      <c r="A176" s="121" t="s">
        <v>1054</v>
      </c>
      <c r="B176" s="168"/>
      <c r="C176" s="170"/>
      <c r="D176" s="39"/>
      <c r="E176" s="39"/>
      <c r="F176" s="38" t="s">
        <v>1055</v>
      </c>
      <c r="G176" s="39"/>
      <c r="H176" s="103"/>
      <c r="I176" s="43"/>
    </row>
    <row r="177" spans="1:9" ht="25" x14ac:dyDescent="0.25">
      <c r="A177" s="121" t="s">
        <v>1056</v>
      </c>
      <c r="B177" s="168"/>
      <c r="C177" s="170"/>
      <c r="D177" s="39"/>
      <c r="E177" s="39"/>
      <c r="F177" s="39" t="s">
        <v>925</v>
      </c>
      <c r="G177" s="39" t="s">
        <v>1057</v>
      </c>
      <c r="H177" s="103"/>
      <c r="I177" s="43"/>
    </row>
    <row r="178" spans="1:9" ht="13.25" customHeight="1" x14ac:dyDescent="0.25">
      <c r="A178" s="121" t="s">
        <v>1060</v>
      </c>
      <c r="B178" s="168"/>
      <c r="C178" s="170"/>
      <c r="D178" s="39" t="s">
        <v>1059</v>
      </c>
      <c r="E178" s="39"/>
      <c r="F178" s="38" t="s">
        <v>1061</v>
      </c>
      <c r="G178" s="39"/>
      <c r="H178" s="103"/>
      <c r="I178" s="43"/>
    </row>
    <row r="179" spans="1:9" ht="13" x14ac:dyDescent="0.25">
      <c r="A179" s="121" t="s">
        <v>1062</v>
      </c>
      <c r="B179" s="168"/>
      <c r="C179" s="170"/>
      <c r="D179" s="39"/>
      <c r="E179" s="39"/>
      <c r="F179" s="38" t="s">
        <v>650</v>
      </c>
      <c r="G179" s="39"/>
      <c r="H179" s="103"/>
      <c r="I179" s="43"/>
    </row>
    <row r="180" spans="1:9" ht="13.25" customHeight="1" x14ac:dyDescent="0.25">
      <c r="A180" s="121" t="s">
        <v>1063</v>
      </c>
      <c r="B180" s="168"/>
      <c r="C180" s="170"/>
      <c r="D180" s="39"/>
      <c r="E180" s="39"/>
      <c r="F180" s="38" t="s">
        <v>880</v>
      </c>
      <c r="G180" s="39"/>
      <c r="H180" s="103"/>
      <c r="I180" s="43"/>
    </row>
    <row r="181" spans="1:9" ht="13" x14ac:dyDescent="0.25">
      <c r="A181" s="121" t="s">
        <v>1064</v>
      </c>
      <c r="B181" s="168"/>
      <c r="C181" s="170"/>
      <c r="D181" s="39"/>
      <c r="E181" s="39"/>
      <c r="F181" s="38" t="s">
        <v>882</v>
      </c>
      <c r="G181" s="39"/>
      <c r="H181" s="103"/>
      <c r="I181" s="43"/>
    </row>
    <row r="182" spans="1:9" ht="25" x14ac:dyDescent="0.25">
      <c r="A182" s="121" t="s">
        <v>1069</v>
      </c>
      <c r="B182" s="167" t="s">
        <v>1065</v>
      </c>
      <c r="C182" s="169" t="s">
        <v>1066</v>
      </c>
      <c r="D182" s="39" t="s">
        <v>1068</v>
      </c>
      <c r="E182" s="39"/>
      <c r="F182" s="38" t="s">
        <v>1070</v>
      </c>
      <c r="G182" s="39" t="s">
        <v>1046</v>
      </c>
      <c r="H182" s="103"/>
      <c r="I182" s="43"/>
    </row>
    <row r="183" spans="1:9" ht="13" x14ac:dyDescent="0.25">
      <c r="A183" s="121" t="s">
        <v>1071</v>
      </c>
      <c r="B183" s="168"/>
      <c r="C183" s="170"/>
      <c r="D183" s="39"/>
      <c r="E183" s="39"/>
      <c r="F183" s="38" t="s">
        <v>721</v>
      </c>
      <c r="G183" s="39"/>
      <c r="H183" s="103"/>
      <c r="I183" s="43"/>
    </row>
    <row r="184" spans="1:9" ht="13" x14ac:dyDescent="0.25">
      <c r="A184" s="121" t="s">
        <v>1072</v>
      </c>
      <c r="B184" s="168"/>
      <c r="C184" s="170"/>
      <c r="D184" s="39"/>
      <c r="E184" s="39"/>
      <c r="F184" s="38" t="s">
        <v>723</v>
      </c>
      <c r="G184" s="39"/>
      <c r="H184" s="103"/>
      <c r="I184" s="43"/>
    </row>
    <row r="185" spans="1:9" ht="13" x14ac:dyDescent="0.25">
      <c r="A185" s="121" t="s">
        <v>1073</v>
      </c>
      <c r="B185" s="168"/>
      <c r="C185" s="170"/>
      <c r="D185" s="39"/>
      <c r="E185" s="39"/>
      <c r="F185" s="38" t="s">
        <v>1074</v>
      </c>
      <c r="G185" s="39"/>
      <c r="H185" s="103"/>
      <c r="I185" s="43"/>
    </row>
    <row r="186" spans="1:9" ht="13" x14ac:dyDescent="0.25">
      <c r="A186" s="121" t="s">
        <v>1075</v>
      </c>
      <c r="B186" s="168"/>
      <c r="C186" s="170"/>
      <c r="D186" s="39"/>
      <c r="E186" s="39"/>
      <c r="F186" s="38" t="s">
        <v>1076</v>
      </c>
      <c r="G186" s="39"/>
      <c r="H186" s="103"/>
      <c r="I186" s="43"/>
    </row>
    <row r="187" spans="1:9" ht="13.25" customHeight="1" x14ac:dyDescent="0.25">
      <c r="A187" s="121" t="s">
        <v>1077</v>
      </c>
      <c r="B187" s="168"/>
      <c r="C187" s="170"/>
      <c r="D187" s="39"/>
      <c r="E187" s="39"/>
      <c r="F187" s="38" t="s">
        <v>930</v>
      </c>
      <c r="G187" s="39"/>
      <c r="H187" s="103"/>
      <c r="I187" s="43"/>
    </row>
    <row r="188" spans="1:9" ht="13" x14ac:dyDescent="0.25">
      <c r="A188" s="121" t="s">
        <v>1080</v>
      </c>
      <c r="B188" s="168"/>
      <c r="C188" s="170"/>
      <c r="D188" s="39" t="s">
        <v>1079</v>
      </c>
      <c r="E188" s="39"/>
      <c r="F188" s="38" t="s">
        <v>1081</v>
      </c>
      <c r="G188" s="39"/>
      <c r="H188" s="103"/>
      <c r="I188" s="43"/>
    </row>
    <row r="189" spans="1:9" ht="13.25" customHeight="1" x14ac:dyDescent="0.25">
      <c r="A189" s="121" t="s">
        <v>1082</v>
      </c>
      <c r="B189" s="168"/>
      <c r="C189" s="170"/>
      <c r="D189" s="39"/>
      <c r="E189" s="39"/>
      <c r="F189" s="38" t="s">
        <v>1083</v>
      </c>
      <c r="G189" s="39"/>
      <c r="H189" s="103"/>
      <c r="I189" s="43"/>
    </row>
    <row r="190" spans="1:9" ht="13" x14ac:dyDescent="0.25">
      <c r="A190" s="121" t="s">
        <v>1084</v>
      </c>
      <c r="B190" s="168"/>
      <c r="C190" s="170"/>
      <c r="D190" s="39"/>
      <c r="E190" s="39"/>
      <c r="F190" s="38" t="s">
        <v>1085</v>
      </c>
      <c r="G190" s="39" t="s">
        <v>1086</v>
      </c>
      <c r="H190" s="103"/>
      <c r="I190" s="43"/>
    </row>
    <row r="191" spans="1:9" ht="13.25" customHeight="1" x14ac:dyDescent="0.25">
      <c r="A191" s="121" t="s">
        <v>1087</v>
      </c>
      <c r="B191" s="168"/>
      <c r="C191" s="170"/>
      <c r="D191" s="39"/>
      <c r="E191" s="39"/>
      <c r="F191" s="38" t="s">
        <v>1088</v>
      </c>
      <c r="G191" s="39"/>
      <c r="H191" s="103"/>
      <c r="I191" s="43"/>
    </row>
    <row r="192" spans="1:9" ht="13" x14ac:dyDescent="0.25">
      <c r="A192" s="121" t="s">
        <v>1091</v>
      </c>
      <c r="B192" s="173"/>
      <c r="C192" s="171"/>
      <c r="D192" s="39" t="s">
        <v>1090</v>
      </c>
      <c r="E192" s="39"/>
      <c r="F192" s="38" t="s">
        <v>1092</v>
      </c>
      <c r="G192" s="39"/>
      <c r="H192" s="103"/>
      <c r="I192" s="43"/>
    </row>
    <row r="193" spans="1:9" ht="13" x14ac:dyDescent="0.25">
      <c r="A193" s="121" t="s">
        <v>1097</v>
      </c>
      <c r="B193" s="167" t="s">
        <v>1093</v>
      </c>
      <c r="C193" s="243" t="s">
        <v>1094</v>
      </c>
      <c r="D193" s="39" t="s">
        <v>1096</v>
      </c>
      <c r="E193" s="39"/>
      <c r="F193" s="38" t="s">
        <v>1098</v>
      </c>
      <c r="G193" s="39"/>
      <c r="H193" s="103"/>
      <c r="I193" s="43"/>
    </row>
    <row r="194" spans="1:9" ht="13" x14ac:dyDescent="0.25">
      <c r="A194" s="121" t="s">
        <v>1099</v>
      </c>
      <c r="B194" s="168"/>
      <c r="C194" s="244"/>
      <c r="D194" s="39"/>
      <c r="E194" s="39"/>
      <c r="F194" s="38" t="s">
        <v>902</v>
      </c>
      <c r="G194" s="39"/>
      <c r="H194" s="103"/>
      <c r="I194" s="43"/>
    </row>
    <row r="195" spans="1:9" ht="13" x14ac:dyDescent="0.25">
      <c r="A195" s="121" t="s">
        <v>1100</v>
      </c>
      <c r="B195" s="168"/>
      <c r="C195" s="170"/>
      <c r="D195" s="39"/>
      <c r="E195" s="39"/>
      <c r="F195" s="38" t="s">
        <v>936</v>
      </c>
      <c r="G195" s="39"/>
      <c r="H195" s="103"/>
      <c r="I195" s="43"/>
    </row>
    <row r="196" spans="1:9" ht="13.25" customHeight="1" x14ac:dyDescent="0.25">
      <c r="A196" s="121" t="s">
        <v>1101</v>
      </c>
      <c r="B196" s="168"/>
      <c r="C196" s="170"/>
      <c r="D196" s="39"/>
      <c r="E196" s="39"/>
      <c r="F196" s="38" t="s">
        <v>1102</v>
      </c>
      <c r="G196" s="39" t="s">
        <v>1103</v>
      </c>
      <c r="H196" s="103"/>
      <c r="I196" s="43"/>
    </row>
    <row r="197" spans="1:9" ht="25" x14ac:dyDescent="0.25">
      <c r="A197" s="121" t="s">
        <v>1104</v>
      </c>
      <c r="B197" s="168"/>
      <c r="C197" s="170"/>
      <c r="D197" s="39"/>
      <c r="E197" s="39"/>
      <c r="F197" s="38" t="s">
        <v>1105</v>
      </c>
      <c r="G197" s="39" t="s">
        <v>1106</v>
      </c>
      <c r="H197" s="103"/>
      <c r="I197" s="43"/>
    </row>
    <row r="198" spans="1:9" ht="13" x14ac:dyDescent="0.25">
      <c r="A198" s="121" t="s">
        <v>1107</v>
      </c>
      <c r="B198" s="168"/>
      <c r="C198" s="170"/>
      <c r="D198" s="39"/>
      <c r="E198" s="39"/>
      <c r="F198" s="38" t="s">
        <v>868</v>
      </c>
      <c r="G198" s="39"/>
      <c r="H198" s="103"/>
      <c r="I198" s="43"/>
    </row>
    <row r="199" spans="1:9" ht="13" x14ac:dyDescent="0.25">
      <c r="A199" s="121" t="s">
        <v>1110</v>
      </c>
      <c r="B199" s="168"/>
      <c r="C199" s="170"/>
      <c r="D199" s="39" t="s">
        <v>1109</v>
      </c>
      <c r="E199" s="39"/>
      <c r="F199" s="38" t="s">
        <v>1111</v>
      </c>
      <c r="G199" s="39"/>
      <c r="H199" s="103"/>
      <c r="I199" s="43"/>
    </row>
    <row r="200" spans="1:9" ht="13.25" customHeight="1" x14ac:dyDescent="0.25">
      <c r="A200" s="121" t="s">
        <v>1114</v>
      </c>
      <c r="B200" s="168"/>
      <c r="C200" s="170"/>
      <c r="D200" s="39" t="s">
        <v>55</v>
      </c>
      <c r="E200" s="39" t="s">
        <v>1113</v>
      </c>
      <c r="F200" s="38" t="s">
        <v>721</v>
      </c>
      <c r="G200" s="39"/>
      <c r="H200" s="103"/>
      <c r="I200" s="43"/>
    </row>
    <row r="201" spans="1:9" ht="13" x14ac:dyDescent="0.25">
      <c r="A201" s="121" t="s">
        <v>1115</v>
      </c>
      <c r="B201" s="168"/>
      <c r="C201" s="170"/>
      <c r="D201" s="39"/>
      <c r="E201" s="39"/>
      <c r="F201" s="38" t="s">
        <v>723</v>
      </c>
      <c r="G201" s="39"/>
      <c r="H201" s="103"/>
      <c r="I201" s="43"/>
    </row>
    <row r="202" spans="1:9" ht="13" x14ac:dyDescent="0.25">
      <c r="A202" s="121" t="s">
        <v>1116</v>
      </c>
      <c r="B202" s="168"/>
      <c r="C202" s="170"/>
      <c r="D202" s="39"/>
      <c r="E202" s="39"/>
      <c r="F202" s="38" t="s">
        <v>765</v>
      </c>
      <c r="G202" s="39"/>
      <c r="H202" s="103"/>
      <c r="I202" s="43"/>
    </row>
    <row r="203" spans="1:9" ht="13.25" customHeight="1" x14ac:dyDescent="0.25">
      <c r="A203" s="121" t="s">
        <v>1117</v>
      </c>
      <c r="B203" s="168"/>
      <c r="C203" s="170"/>
      <c r="D203" s="39"/>
      <c r="E203" s="39"/>
      <c r="F203" s="38" t="s">
        <v>897</v>
      </c>
      <c r="G203" s="39"/>
      <c r="H203" s="103"/>
      <c r="I203" s="43"/>
    </row>
    <row r="204" spans="1:9" ht="13.25" customHeight="1" x14ac:dyDescent="0.25">
      <c r="A204" s="121" t="s">
        <v>1120</v>
      </c>
      <c r="B204" s="168"/>
      <c r="C204" s="170"/>
      <c r="D204" s="39" t="s">
        <v>1119</v>
      </c>
      <c r="E204" s="39"/>
      <c r="F204" s="38" t="s">
        <v>1061</v>
      </c>
      <c r="G204" s="39"/>
      <c r="H204" s="103"/>
      <c r="I204" s="43"/>
    </row>
    <row r="205" spans="1:9" ht="13.25" customHeight="1" x14ac:dyDescent="0.25">
      <c r="A205" s="121" t="s">
        <v>1121</v>
      </c>
      <c r="B205" s="168"/>
      <c r="C205" s="170"/>
      <c r="D205" s="39"/>
      <c r="E205" s="39"/>
      <c r="F205" s="38" t="s">
        <v>936</v>
      </c>
      <c r="G205" s="39"/>
      <c r="H205" s="103"/>
      <c r="I205" s="43"/>
    </row>
    <row r="206" spans="1:9" ht="13.25" customHeight="1" x14ac:dyDescent="0.25">
      <c r="A206" s="121" t="s">
        <v>1122</v>
      </c>
      <c r="B206" s="168"/>
      <c r="C206" s="170"/>
      <c r="D206" s="39"/>
      <c r="E206" s="39"/>
      <c r="F206" s="38" t="s">
        <v>868</v>
      </c>
      <c r="G206" s="39"/>
      <c r="H206" s="103"/>
      <c r="I206" s="43"/>
    </row>
    <row r="207" spans="1:9" ht="13.25" customHeight="1" x14ac:dyDescent="0.25">
      <c r="A207" s="121" t="s">
        <v>1123</v>
      </c>
      <c r="B207" s="168"/>
      <c r="C207" s="170"/>
      <c r="D207" s="39"/>
      <c r="E207" s="39"/>
      <c r="F207" s="38" t="s">
        <v>897</v>
      </c>
      <c r="G207" s="39"/>
      <c r="H207" s="103"/>
      <c r="I207" s="43"/>
    </row>
    <row r="208" spans="1:9" ht="13" x14ac:dyDescent="0.25">
      <c r="A208" s="121" t="s">
        <v>1124</v>
      </c>
      <c r="B208" s="168"/>
      <c r="C208" s="170"/>
      <c r="D208" s="39"/>
      <c r="E208" s="39"/>
      <c r="F208" s="38" t="s">
        <v>650</v>
      </c>
      <c r="G208" s="39"/>
      <c r="H208" s="103"/>
      <c r="I208" s="43"/>
    </row>
    <row r="209" spans="1:9" ht="13" x14ac:dyDescent="0.25">
      <c r="A209" s="121" t="s">
        <v>1125</v>
      </c>
      <c r="B209" s="168"/>
      <c r="C209" s="170"/>
      <c r="D209" s="39"/>
      <c r="E209" s="39"/>
      <c r="F209" s="38" t="s">
        <v>878</v>
      </c>
      <c r="G209" s="39"/>
      <c r="H209" s="103"/>
      <c r="I209" s="43"/>
    </row>
    <row r="210" spans="1:9" ht="13" x14ac:dyDescent="0.25">
      <c r="A210" s="121" t="s">
        <v>1126</v>
      </c>
      <c r="B210" s="168"/>
      <c r="C210" s="170"/>
      <c r="D210" s="39"/>
      <c r="E210" s="39"/>
      <c r="F210" s="38" t="s">
        <v>880</v>
      </c>
      <c r="G210" s="39"/>
      <c r="H210" s="103"/>
      <c r="I210" s="43"/>
    </row>
    <row r="211" spans="1:9" ht="14" customHeight="1" x14ac:dyDescent="0.25">
      <c r="A211" s="121" t="s">
        <v>1127</v>
      </c>
      <c r="B211" s="168"/>
      <c r="C211" s="170"/>
      <c r="D211" s="39"/>
      <c r="E211" s="39"/>
      <c r="F211" s="38" t="s">
        <v>870</v>
      </c>
      <c r="G211" s="39"/>
      <c r="H211" s="103"/>
      <c r="I211" s="43"/>
    </row>
    <row r="212" spans="1:9" ht="25.5" x14ac:dyDescent="0.3">
      <c r="A212" s="121" t="s">
        <v>1129</v>
      </c>
      <c r="B212" s="168"/>
      <c r="C212" s="170"/>
      <c r="D212" s="39" t="s">
        <v>932</v>
      </c>
      <c r="E212" s="39"/>
      <c r="F212" s="127" t="s">
        <v>694</v>
      </c>
      <c r="G212" s="39" t="s">
        <v>692</v>
      </c>
      <c r="H212" s="103"/>
      <c r="I212" s="43"/>
    </row>
    <row r="213" spans="1:9" ht="25" x14ac:dyDescent="0.25">
      <c r="A213" s="121" t="s">
        <v>1135</v>
      </c>
      <c r="B213" s="167" t="s">
        <v>1130</v>
      </c>
      <c r="C213" s="169" t="s">
        <v>1131</v>
      </c>
      <c r="D213" s="39" t="s">
        <v>1133</v>
      </c>
      <c r="E213" s="39" t="s">
        <v>1134</v>
      </c>
      <c r="F213" s="38" t="s">
        <v>1098</v>
      </c>
      <c r="G213" s="39"/>
      <c r="H213" s="103"/>
      <c r="I213" s="43"/>
    </row>
    <row r="214" spans="1:9" ht="13" x14ac:dyDescent="0.25">
      <c r="A214" s="121" t="s">
        <v>1136</v>
      </c>
      <c r="B214" s="168"/>
      <c r="C214" s="45"/>
      <c r="D214" s="39"/>
      <c r="E214" s="39"/>
      <c r="F214" s="38" t="s">
        <v>1137</v>
      </c>
      <c r="G214" s="39"/>
      <c r="H214" s="103"/>
      <c r="I214" s="43"/>
    </row>
    <row r="215" spans="1:9" ht="13" x14ac:dyDescent="0.25">
      <c r="A215" s="121" t="s">
        <v>1138</v>
      </c>
      <c r="B215" s="168"/>
      <c r="C215" s="45"/>
      <c r="D215" s="39"/>
      <c r="E215" s="39"/>
      <c r="F215" s="38" t="s">
        <v>1139</v>
      </c>
      <c r="G215" s="39"/>
      <c r="H215" s="103"/>
      <c r="I215" s="43"/>
    </row>
    <row r="216" spans="1:9" ht="13" x14ac:dyDescent="0.25">
      <c r="A216" s="121" t="s">
        <v>1140</v>
      </c>
      <c r="B216" s="168"/>
      <c r="C216" s="45"/>
      <c r="D216" s="39"/>
      <c r="E216" s="39"/>
      <c r="F216" s="38" t="s">
        <v>1141</v>
      </c>
      <c r="G216" s="39"/>
      <c r="H216" s="103"/>
      <c r="I216" s="43"/>
    </row>
    <row r="217" spans="1:9" ht="37.5" x14ac:dyDescent="0.25">
      <c r="A217" s="121" t="s">
        <v>1145</v>
      </c>
      <c r="B217" s="168"/>
      <c r="C217" s="45"/>
      <c r="D217" s="39" t="s">
        <v>1143</v>
      </c>
      <c r="E217" s="39" t="s">
        <v>1144</v>
      </c>
      <c r="F217" s="38" t="s">
        <v>1146</v>
      </c>
      <c r="G217" s="39" t="s">
        <v>1147</v>
      </c>
      <c r="H217" s="103"/>
      <c r="I217" s="43"/>
    </row>
    <row r="218" spans="1:9" ht="25" x14ac:dyDescent="0.25">
      <c r="A218" s="121" t="s">
        <v>1148</v>
      </c>
      <c r="B218" s="168"/>
      <c r="C218" s="45"/>
      <c r="D218" s="39"/>
      <c r="E218" s="39"/>
      <c r="F218" s="38" t="s">
        <v>1149</v>
      </c>
      <c r="G218" s="39" t="s">
        <v>1150</v>
      </c>
      <c r="H218" s="103"/>
      <c r="I218" s="43"/>
    </row>
    <row r="219" spans="1:9" ht="25" x14ac:dyDescent="0.25">
      <c r="A219" s="121" t="s">
        <v>1151</v>
      </c>
      <c r="B219" s="168"/>
      <c r="C219" s="45"/>
      <c r="D219" s="39"/>
      <c r="E219" s="39"/>
      <c r="F219" s="38" t="s">
        <v>1152</v>
      </c>
      <c r="G219" s="39" t="s">
        <v>1153</v>
      </c>
      <c r="H219" s="103"/>
      <c r="I219" s="43"/>
    </row>
    <row r="220" spans="1:9" ht="25" x14ac:dyDescent="0.25">
      <c r="A220" s="121" t="s">
        <v>1154</v>
      </c>
      <c r="B220" s="168"/>
      <c r="C220" s="45"/>
      <c r="D220" s="39"/>
      <c r="E220" s="39"/>
      <c r="F220" s="38" t="s">
        <v>1155</v>
      </c>
      <c r="G220" s="39" t="s">
        <v>1156</v>
      </c>
      <c r="H220" s="103"/>
      <c r="I220" s="43"/>
    </row>
    <row r="221" spans="1:9" ht="13" x14ac:dyDescent="0.25">
      <c r="A221" s="121" t="s">
        <v>1160</v>
      </c>
      <c r="B221" s="168"/>
      <c r="C221" s="45"/>
      <c r="D221" s="39" t="s">
        <v>1158</v>
      </c>
      <c r="E221" s="251" t="s">
        <v>1159</v>
      </c>
      <c r="F221" s="38" t="s">
        <v>1161</v>
      </c>
      <c r="G221" s="39"/>
      <c r="H221" s="103"/>
      <c r="I221" s="43"/>
    </row>
    <row r="222" spans="1:9" ht="13" x14ac:dyDescent="0.25">
      <c r="A222" s="121" t="s">
        <v>1162</v>
      </c>
      <c r="B222" s="168"/>
      <c r="C222" s="45"/>
      <c r="D222" s="39"/>
      <c r="E222" s="252"/>
      <c r="F222" s="38" t="s">
        <v>1163</v>
      </c>
      <c r="G222" s="39"/>
      <c r="H222" s="103"/>
      <c r="I222" s="43"/>
    </row>
    <row r="223" spans="1:9" ht="13" x14ac:dyDescent="0.25">
      <c r="A223" s="121" t="s">
        <v>1164</v>
      </c>
      <c r="B223" s="168"/>
      <c r="C223" s="45"/>
      <c r="D223" s="39"/>
      <c r="E223" s="253"/>
      <c r="F223" s="38" t="s">
        <v>1165</v>
      </c>
      <c r="G223" s="39"/>
      <c r="H223" s="103"/>
      <c r="I223" s="43"/>
    </row>
    <row r="224" spans="1:9" ht="13" x14ac:dyDescent="0.25">
      <c r="A224" s="121" t="s">
        <v>1166</v>
      </c>
      <c r="B224" s="168"/>
      <c r="C224" s="45"/>
      <c r="D224" s="39"/>
      <c r="E224" s="39"/>
      <c r="F224" s="38" t="s">
        <v>1167</v>
      </c>
      <c r="G224" s="39"/>
      <c r="H224" s="103"/>
      <c r="I224" s="43"/>
    </row>
    <row r="225" spans="1:9" ht="13" x14ac:dyDescent="0.25">
      <c r="A225" s="121" t="s">
        <v>1168</v>
      </c>
      <c r="B225" s="168"/>
      <c r="C225" s="45"/>
      <c r="D225" s="39"/>
      <c r="E225" s="39"/>
      <c r="F225" s="38" t="s">
        <v>1169</v>
      </c>
      <c r="G225" s="39"/>
      <c r="H225" s="103"/>
      <c r="I225" s="43"/>
    </row>
    <row r="226" spans="1:9" ht="13" x14ac:dyDescent="0.25">
      <c r="A226" s="121" t="s">
        <v>1170</v>
      </c>
      <c r="B226" s="168"/>
      <c r="C226" s="45"/>
      <c r="D226" s="39"/>
      <c r="E226" s="39"/>
      <c r="F226" s="38" t="s">
        <v>856</v>
      </c>
      <c r="G226" s="39"/>
      <c r="H226" s="103"/>
      <c r="I226" s="43"/>
    </row>
    <row r="227" spans="1:9" ht="13" x14ac:dyDescent="0.25">
      <c r="A227" s="121" t="s">
        <v>1171</v>
      </c>
      <c r="B227" s="168"/>
      <c r="C227" s="45"/>
      <c r="D227" s="39"/>
      <c r="E227" s="39"/>
      <c r="F227" s="38" t="s">
        <v>1172</v>
      </c>
      <c r="G227" s="39"/>
      <c r="H227" s="103"/>
      <c r="I227" s="43"/>
    </row>
    <row r="228" spans="1:9" ht="13" x14ac:dyDescent="0.25">
      <c r="A228" s="121" t="s">
        <v>1173</v>
      </c>
      <c r="B228" s="168"/>
      <c r="C228" s="45"/>
      <c r="D228" s="39"/>
      <c r="E228" s="39"/>
      <c r="F228" s="38" t="s">
        <v>679</v>
      </c>
      <c r="G228" s="39"/>
      <c r="H228" s="103"/>
      <c r="I228" s="43"/>
    </row>
    <row r="229" spans="1:9" ht="13" x14ac:dyDescent="0.25">
      <c r="A229" s="121" t="s">
        <v>1174</v>
      </c>
      <c r="B229" s="168"/>
      <c r="C229" s="45"/>
      <c r="D229" s="39"/>
      <c r="E229" s="39"/>
      <c r="F229" s="38" t="s">
        <v>878</v>
      </c>
      <c r="G229" s="39"/>
      <c r="H229" s="103"/>
      <c r="I229" s="43"/>
    </row>
    <row r="230" spans="1:9" ht="13" x14ac:dyDescent="0.25">
      <c r="A230" s="121" t="s">
        <v>1175</v>
      </c>
      <c r="B230" s="168"/>
      <c r="C230" s="45"/>
      <c r="D230" s="39"/>
      <c r="E230" s="39"/>
      <c r="F230" s="38" t="s">
        <v>650</v>
      </c>
      <c r="G230" s="39"/>
      <c r="H230" s="103"/>
      <c r="I230" s="43"/>
    </row>
    <row r="231" spans="1:9" ht="13" x14ac:dyDescent="0.25">
      <c r="A231" s="121" t="s">
        <v>1176</v>
      </c>
      <c r="B231" s="168"/>
      <c r="C231" s="45"/>
      <c r="D231" s="39"/>
      <c r="E231" s="39"/>
      <c r="F231" s="38" t="s">
        <v>1177</v>
      </c>
      <c r="G231" s="39"/>
      <c r="H231" s="103"/>
      <c r="I231" s="43"/>
    </row>
    <row r="232" spans="1:9" ht="13" x14ac:dyDescent="0.25">
      <c r="A232" s="121" t="s">
        <v>1178</v>
      </c>
      <c r="B232" s="168"/>
      <c r="C232" s="45"/>
      <c r="D232" s="39"/>
      <c r="E232" s="39"/>
      <c r="F232" s="38" t="s">
        <v>1179</v>
      </c>
      <c r="G232" s="39"/>
      <c r="H232" s="103"/>
      <c r="I232" s="43"/>
    </row>
    <row r="233" spans="1:9" ht="13" x14ac:dyDescent="0.25">
      <c r="A233" s="121" t="s">
        <v>1180</v>
      </c>
      <c r="B233" s="168"/>
      <c r="C233" s="45"/>
      <c r="D233" s="39"/>
      <c r="E233" s="39"/>
      <c r="F233" s="38" t="s">
        <v>1181</v>
      </c>
      <c r="G233" s="39"/>
      <c r="H233" s="103"/>
      <c r="I233" s="43"/>
    </row>
    <row r="234" spans="1:9" ht="13.25" customHeight="1" x14ac:dyDescent="0.25">
      <c r="A234" s="121" t="s">
        <v>1182</v>
      </c>
      <c r="B234" s="168"/>
      <c r="C234" s="45"/>
      <c r="D234" s="39"/>
      <c r="E234" s="39"/>
      <c r="F234" s="38" t="s">
        <v>1183</v>
      </c>
      <c r="G234" s="39"/>
      <c r="H234" s="103"/>
      <c r="I234" s="43"/>
    </row>
    <row r="235" spans="1:9" ht="13" x14ac:dyDescent="0.25">
      <c r="A235" s="121" t="s">
        <v>1184</v>
      </c>
      <c r="B235" s="168"/>
      <c r="C235" s="45"/>
      <c r="D235" s="39"/>
      <c r="E235" s="39"/>
      <c r="F235" s="38" t="s">
        <v>791</v>
      </c>
      <c r="G235" s="39"/>
      <c r="H235" s="103"/>
      <c r="I235" s="43"/>
    </row>
    <row r="236" spans="1:9" ht="13" x14ac:dyDescent="0.25">
      <c r="A236" s="121" t="s">
        <v>1185</v>
      </c>
      <c r="B236" s="168"/>
      <c r="C236" s="45"/>
      <c r="D236" s="39"/>
      <c r="E236" s="39"/>
      <c r="F236" s="38" t="s">
        <v>1186</v>
      </c>
      <c r="G236" s="39"/>
      <c r="H236" s="103"/>
      <c r="I236" s="43"/>
    </row>
    <row r="237" spans="1:9" ht="13" x14ac:dyDescent="0.25">
      <c r="A237" s="121" t="s">
        <v>1187</v>
      </c>
      <c r="B237" s="168"/>
      <c r="C237" s="45"/>
      <c r="D237" s="39"/>
      <c r="E237" s="39"/>
      <c r="F237" s="38" t="s">
        <v>1188</v>
      </c>
      <c r="G237" s="39"/>
      <c r="H237" s="103"/>
      <c r="I237" s="43"/>
    </row>
    <row r="238" spans="1:9" ht="13" x14ac:dyDescent="0.25">
      <c r="A238" s="121" t="s">
        <v>1189</v>
      </c>
      <c r="B238" s="168"/>
      <c r="C238" s="45"/>
      <c r="D238" s="39"/>
      <c r="E238" s="39"/>
      <c r="F238" s="38" t="s">
        <v>1190</v>
      </c>
      <c r="G238" s="39"/>
      <c r="H238" s="103"/>
      <c r="I238" s="43"/>
    </row>
    <row r="239" spans="1:9" ht="13" x14ac:dyDescent="0.25">
      <c r="A239" s="121" t="s">
        <v>1191</v>
      </c>
      <c r="B239" s="168"/>
      <c r="C239" s="45"/>
      <c r="D239" s="39"/>
      <c r="E239" s="39"/>
      <c r="F239" s="38" t="s">
        <v>1192</v>
      </c>
      <c r="G239" s="39"/>
      <c r="H239" s="103"/>
      <c r="I239" s="43"/>
    </row>
    <row r="240" spans="1:9" ht="13.25" customHeight="1" x14ac:dyDescent="0.25">
      <c r="A240" s="121" t="s">
        <v>1193</v>
      </c>
      <c r="B240" s="168"/>
      <c r="C240" s="45"/>
      <c r="D240" s="39"/>
      <c r="E240" s="39"/>
      <c r="F240" s="38" t="s">
        <v>1194</v>
      </c>
      <c r="G240" s="39" t="s">
        <v>1195</v>
      </c>
      <c r="H240" s="103"/>
      <c r="I240" s="43"/>
    </row>
    <row r="241" spans="1:9" ht="13" x14ac:dyDescent="0.25">
      <c r="A241" s="121" t="s">
        <v>1196</v>
      </c>
      <c r="B241" s="168"/>
      <c r="C241" s="45"/>
      <c r="D241" s="39"/>
      <c r="E241" s="39"/>
      <c r="F241" s="38" t="s">
        <v>787</v>
      </c>
      <c r="G241" s="39"/>
      <c r="H241" s="103"/>
      <c r="I241" s="43"/>
    </row>
    <row r="242" spans="1:9" ht="13.25" customHeight="1" x14ac:dyDescent="0.25">
      <c r="A242" s="121" t="s">
        <v>1197</v>
      </c>
      <c r="B242" s="168"/>
      <c r="C242" s="45"/>
      <c r="D242" s="39"/>
      <c r="E242" s="39"/>
      <c r="F242" s="38" t="s">
        <v>783</v>
      </c>
      <c r="G242" s="39"/>
      <c r="H242" s="103"/>
      <c r="I242" s="43"/>
    </row>
    <row r="243" spans="1:9" ht="14" customHeight="1" x14ac:dyDescent="0.25">
      <c r="A243" s="121" t="s">
        <v>1200</v>
      </c>
      <c r="B243" s="168"/>
      <c r="C243" s="45"/>
      <c r="D243" s="39" t="s">
        <v>1199</v>
      </c>
      <c r="E243" s="39"/>
      <c r="F243" s="38" t="s">
        <v>1201</v>
      </c>
      <c r="G243" s="39"/>
      <c r="H243" s="103"/>
      <c r="I243" s="43"/>
    </row>
    <row r="244" spans="1:9" ht="13" x14ac:dyDescent="0.25">
      <c r="A244" s="121" t="s">
        <v>1202</v>
      </c>
      <c r="B244" s="168"/>
      <c r="C244" s="45"/>
      <c r="D244" s="39"/>
      <c r="E244" s="39"/>
      <c r="F244" s="38" t="s">
        <v>1203</v>
      </c>
      <c r="G244" s="39"/>
      <c r="H244" s="103"/>
      <c r="I244" s="43"/>
    </row>
    <row r="245" spans="1:9" ht="14" customHeight="1" x14ac:dyDescent="0.25">
      <c r="A245" s="121" t="s">
        <v>1204</v>
      </c>
      <c r="B245" s="168"/>
      <c r="C245" s="45"/>
      <c r="D245" s="39"/>
      <c r="E245" s="39"/>
      <c r="F245" s="38" t="s">
        <v>1205</v>
      </c>
      <c r="G245" s="39"/>
      <c r="H245" s="103"/>
      <c r="I245" s="43"/>
    </row>
    <row r="246" spans="1:9" ht="14" customHeight="1" x14ac:dyDescent="0.25">
      <c r="A246" s="121" t="s">
        <v>1206</v>
      </c>
      <c r="B246" s="168"/>
      <c r="C246" s="45"/>
      <c r="D246" s="39"/>
      <c r="E246" s="39"/>
      <c r="F246" s="38" t="s">
        <v>1207</v>
      </c>
      <c r="G246" s="39" t="s">
        <v>1208</v>
      </c>
      <c r="H246" s="103"/>
      <c r="I246" s="43"/>
    </row>
    <row r="247" spans="1:9" ht="14" customHeight="1" x14ac:dyDescent="0.25">
      <c r="A247" s="121" t="s">
        <v>1209</v>
      </c>
      <c r="B247" s="168"/>
      <c r="C247" s="45"/>
      <c r="D247" s="39"/>
      <c r="E247" s="39"/>
      <c r="F247" s="38" t="s">
        <v>1210</v>
      </c>
      <c r="G247" s="39"/>
      <c r="H247" s="103"/>
      <c r="I247" s="43"/>
    </row>
    <row r="248" spans="1:9" ht="14" customHeight="1" x14ac:dyDescent="0.25">
      <c r="A248" s="121" t="s">
        <v>1213</v>
      </c>
      <c r="B248" s="168"/>
      <c r="C248" s="45"/>
      <c r="D248" s="39" t="s">
        <v>1212</v>
      </c>
      <c r="E248" s="39"/>
      <c r="F248" s="38" t="s">
        <v>1214</v>
      </c>
      <c r="G248" s="39"/>
      <c r="H248" s="103"/>
      <c r="I248" s="43"/>
    </row>
    <row r="249" spans="1:9" ht="14" customHeight="1" x14ac:dyDescent="0.25">
      <c r="A249" s="121" t="s">
        <v>1215</v>
      </c>
      <c r="B249" s="168"/>
      <c r="C249" s="45"/>
      <c r="D249" s="39"/>
      <c r="E249" s="39"/>
      <c r="F249" s="38" t="s">
        <v>1216</v>
      </c>
      <c r="G249" s="39"/>
      <c r="H249" s="103"/>
      <c r="I249" s="43"/>
    </row>
    <row r="250" spans="1:9" ht="13" x14ac:dyDescent="0.25">
      <c r="A250" s="121" t="s">
        <v>1217</v>
      </c>
      <c r="B250" s="168"/>
      <c r="C250" s="45"/>
      <c r="D250" s="39"/>
      <c r="E250" s="39"/>
      <c r="F250" s="38" t="s">
        <v>1218</v>
      </c>
      <c r="G250" s="39"/>
      <c r="H250" s="103"/>
      <c r="I250" s="43"/>
    </row>
    <row r="251" spans="1:9" ht="14" customHeight="1" x14ac:dyDescent="0.25">
      <c r="A251" s="121" t="s">
        <v>1219</v>
      </c>
      <c r="B251" s="45"/>
      <c r="C251" s="45"/>
      <c r="D251" s="39"/>
      <c r="E251" s="39"/>
      <c r="F251" s="38" t="s">
        <v>1220</v>
      </c>
      <c r="G251" s="39"/>
      <c r="H251" s="103"/>
      <c r="I251" s="43"/>
    </row>
    <row r="252" spans="1:9" ht="13" x14ac:dyDescent="0.25">
      <c r="A252" s="121" t="s">
        <v>1225</v>
      </c>
      <c r="B252" s="46" t="s">
        <v>1221</v>
      </c>
      <c r="C252" s="243" t="s">
        <v>1222</v>
      </c>
      <c r="D252" s="39" t="s">
        <v>1224</v>
      </c>
      <c r="E252" s="39"/>
      <c r="F252" s="38" t="s">
        <v>1226</v>
      </c>
      <c r="G252" s="39"/>
      <c r="H252" s="103"/>
      <c r="I252" s="43"/>
    </row>
    <row r="253" spans="1:9" ht="13" x14ac:dyDescent="0.25">
      <c r="A253" s="121" t="s">
        <v>1227</v>
      </c>
      <c r="B253" s="47"/>
      <c r="C253" s="244"/>
      <c r="D253" s="39"/>
      <c r="E253" s="39"/>
      <c r="F253" s="38" t="s">
        <v>1228</v>
      </c>
      <c r="G253" s="39" t="s">
        <v>1229</v>
      </c>
      <c r="H253" s="103"/>
      <c r="I253" s="43"/>
    </row>
    <row r="254" spans="1:9" ht="13" x14ac:dyDescent="0.25">
      <c r="A254" s="121" t="s">
        <v>1230</v>
      </c>
      <c r="B254" s="168"/>
      <c r="C254" s="45"/>
      <c r="D254" s="39"/>
      <c r="E254" s="39"/>
      <c r="F254" s="38" t="s">
        <v>1231</v>
      </c>
      <c r="G254" s="39"/>
      <c r="H254" s="103"/>
      <c r="I254" s="43"/>
    </row>
    <row r="255" spans="1:9" ht="13" x14ac:dyDescent="0.25">
      <c r="A255" s="121" t="s">
        <v>1232</v>
      </c>
      <c r="B255" s="168"/>
      <c r="C255" s="45"/>
      <c r="D255" s="39"/>
      <c r="E255" s="39"/>
      <c r="F255" s="38" t="s">
        <v>1220</v>
      </c>
      <c r="G255" s="39"/>
      <c r="H255" s="103"/>
      <c r="I255" s="43"/>
    </row>
    <row r="256" spans="1:9" ht="13" x14ac:dyDescent="0.25">
      <c r="A256" s="121" t="s">
        <v>1235</v>
      </c>
      <c r="B256" s="168"/>
      <c r="C256" s="45"/>
      <c r="D256" s="39" t="s">
        <v>1234</v>
      </c>
      <c r="E256" s="39"/>
      <c r="F256" s="38" t="s">
        <v>646</v>
      </c>
      <c r="G256" s="39"/>
      <c r="H256" s="103"/>
      <c r="I256" s="43"/>
    </row>
    <row r="257" spans="1:9" ht="13" x14ac:dyDescent="0.25">
      <c r="A257" s="121" t="s">
        <v>1236</v>
      </c>
      <c r="B257" s="168"/>
      <c r="C257" s="45"/>
      <c r="D257" s="39"/>
      <c r="E257" s="39"/>
      <c r="F257" s="38" t="s">
        <v>644</v>
      </c>
      <c r="G257" s="39"/>
      <c r="H257" s="103"/>
      <c r="I257" s="43"/>
    </row>
    <row r="258" spans="1:9" ht="13" x14ac:dyDescent="0.25">
      <c r="A258" s="121" t="s">
        <v>1237</v>
      </c>
      <c r="B258" s="168"/>
      <c r="C258" s="45"/>
      <c r="D258" s="39"/>
      <c r="E258" s="39"/>
      <c r="F258" s="38" t="s">
        <v>1238</v>
      </c>
      <c r="G258" s="39"/>
      <c r="H258" s="103"/>
      <c r="I258" s="43"/>
    </row>
    <row r="259" spans="1:9" ht="13" x14ac:dyDescent="0.25">
      <c r="A259" s="121" t="s">
        <v>1239</v>
      </c>
      <c r="B259" s="168"/>
      <c r="C259" s="45"/>
      <c r="D259" s="39"/>
      <c r="E259" s="39"/>
      <c r="F259" s="38" t="s">
        <v>650</v>
      </c>
      <c r="G259" s="39"/>
      <c r="H259" s="103"/>
      <c r="I259" s="43"/>
    </row>
    <row r="260" spans="1:9" ht="13" x14ac:dyDescent="0.25">
      <c r="A260" s="121" t="s">
        <v>1240</v>
      </c>
      <c r="B260" s="168"/>
      <c r="C260" s="45"/>
      <c r="D260" s="39"/>
      <c r="E260" s="39"/>
      <c r="F260" s="38" t="s">
        <v>878</v>
      </c>
      <c r="G260" s="39"/>
      <c r="H260" s="103"/>
      <c r="I260" s="43"/>
    </row>
    <row r="261" spans="1:9" ht="13" x14ac:dyDescent="0.25">
      <c r="A261" s="121" t="s">
        <v>1241</v>
      </c>
      <c r="B261" s="168"/>
      <c r="C261" s="45"/>
      <c r="D261" s="39"/>
      <c r="E261" s="39"/>
      <c r="F261" s="38" t="s">
        <v>1242</v>
      </c>
      <c r="G261" s="39" t="s">
        <v>1243</v>
      </c>
      <c r="H261" s="103"/>
      <c r="I261" s="43"/>
    </row>
    <row r="262" spans="1:9" ht="13" x14ac:dyDescent="0.25">
      <c r="A262" s="121" t="s">
        <v>1244</v>
      </c>
      <c r="B262" s="173"/>
      <c r="C262" s="171"/>
      <c r="D262" s="39"/>
      <c r="E262" s="39"/>
      <c r="F262" s="38" t="s">
        <v>1245</v>
      </c>
      <c r="G262" s="39"/>
      <c r="H262" s="103"/>
      <c r="I262" s="43"/>
    </row>
    <row r="263" spans="1:9" ht="13.25" customHeight="1" x14ac:dyDescent="0.25">
      <c r="A263" s="121" t="s">
        <v>1250</v>
      </c>
      <c r="B263" s="167" t="s">
        <v>1246</v>
      </c>
      <c r="C263" s="169" t="s">
        <v>1247</v>
      </c>
      <c r="D263" s="39" t="s">
        <v>1249</v>
      </c>
      <c r="E263" s="39"/>
      <c r="F263" s="38" t="s">
        <v>1251</v>
      </c>
      <c r="G263" s="39"/>
      <c r="H263" s="103"/>
      <c r="I263" s="43"/>
    </row>
    <row r="264" spans="1:9" ht="13" x14ac:dyDescent="0.25">
      <c r="A264" s="121" t="s">
        <v>1252</v>
      </c>
      <c r="B264" s="168"/>
      <c r="C264" s="170"/>
      <c r="D264" s="39"/>
      <c r="E264" s="39"/>
      <c r="F264" s="38" t="s">
        <v>1253</v>
      </c>
      <c r="G264" s="39"/>
      <c r="H264" s="103"/>
      <c r="I264" s="43"/>
    </row>
    <row r="265" spans="1:9" ht="13" x14ac:dyDescent="0.25">
      <c r="A265" s="121" t="s">
        <v>1256</v>
      </c>
      <c r="B265" s="168"/>
      <c r="C265" s="170"/>
      <c r="D265" s="39" t="s">
        <v>1255</v>
      </c>
      <c r="E265" s="39"/>
      <c r="F265" s="38" t="s">
        <v>1061</v>
      </c>
      <c r="G265" s="39"/>
      <c r="H265" s="103"/>
      <c r="I265" s="43"/>
    </row>
    <row r="266" spans="1:9" ht="13" x14ac:dyDescent="0.25">
      <c r="A266" s="121" t="s">
        <v>1257</v>
      </c>
      <c r="B266" s="168"/>
      <c r="C266" s="170"/>
      <c r="D266" s="39"/>
      <c r="E266" s="39"/>
      <c r="F266" s="38" t="s">
        <v>650</v>
      </c>
      <c r="G266" s="39"/>
      <c r="H266" s="103"/>
      <c r="I266" s="43"/>
    </row>
    <row r="267" spans="1:9" ht="13" x14ac:dyDescent="0.25">
      <c r="A267" s="121" t="s">
        <v>1258</v>
      </c>
      <c r="B267" s="168"/>
      <c r="C267" s="171"/>
      <c r="D267" s="39"/>
      <c r="E267" s="39"/>
      <c r="F267" s="38" t="s">
        <v>1259</v>
      </c>
      <c r="G267" s="172"/>
      <c r="H267" s="103"/>
      <c r="I267" s="43"/>
    </row>
    <row r="268" spans="1:9" ht="13" x14ac:dyDescent="0.25">
      <c r="A268" s="121" t="s">
        <v>1264</v>
      </c>
      <c r="B268" s="167" t="s">
        <v>1260</v>
      </c>
      <c r="C268" s="243" t="s">
        <v>1261</v>
      </c>
      <c r="D268" s="39" t="s">
        <v>1263</v>
      </c>
      <c r="E268" s="39"/>
      <c r="F268" s="38" t="s">
        <v>1220</v>
      </c>
      <c r="G268" s="39"/>
      <c r="H268" s="103"/>
      <c r="I268" s="43"/>
    </row>
    <row r="269" spans="1:9" ht="13" x14ac:dyDescent="0.25">
      <c r="A269" s="121" t="s">
        <v>1265</v>
      </c>
      <c r="B269" s="168"/>
      <c r="C269" s="244"/>
      <c r="D269" s="39"/>
      <c r="E269" s="39"/>
      <c r="F269" s="38" t="s">
        <v>1266</v>
      </c>
      <c r="G269" s="39"/>
      <c r="H269" s="103"/>
      <c r="I269" s="43"/>
    </row>
    <row r="270" spans="1:9" ht="13" x14ac:dyDescent="0.25">
      <c r="A270" s="121" t="s">
        <v>1267</v>
      </c>
      <c r="B270" s="168"/>
      <c r="C270" s="168"/>
      <c r="D270" s="39"/>
      <c r="E270" s="39"/>
      <c r="F270" s="38" t="s">
        <v>1268</v>
      </c>
      <c r="G270" s="39"/>
      <c r="H270" s="103"/>
      <c r="I270" s="43"/>
    </row>
    <row r="271" spans="1:9" ht="13" x14ac:dyDescent="0.25">
      <c r="A271" s="121" t="s">
        <v>1271</v>
      </c>
      <c r="B271" s="168"/>
      <c r="C271" s="170"/>
      <c r="D271" s="39" t="s">
        <v>1270</v>
      </c>
      <c r="E271" s="39"/>
      <c r="F271" s="38" t="s">
        <v>1272</v>
      </c>
      <c r="G271" s="39"/>
      <c r="H271" s="103"/>
      <c r="I271" s="43"/>
    </row>
    <row r="272" spans="1:9" ht="13" x14ac:dyDescent="0.25">
      <c r="A272" s="121" t="s">
        <v>1273</v>
      </c>
      <c r="B272" s="168"/>
      <c r="C272" s="170"/>
      <c r="D272" s="39"/>
      <c r="E272" s="39"/>
      <c r="F272" s="38" t="s">
        <v>1274</v>
      </c>
      <c r="G272" s="39"/>
      <c r="H272" s="103"/>
      <c r="I272" s="43"/>
    </row>
    <row r="273" spans="1:9" ht="13" x14ac:dyDescent="0.25">
      <c r="A273" s="121" t="s">
        <v>1275</v>
      </c>
      <c r="B273" s="168"/>
      <c r="C273" s="170"/>
      <c r="D273" s="39"/>
      <c r="E273" s="39"/>
      <c r="F273" s="38" t="s">
        <v>1276</v>
      </c>
      <c r="G273" s="39"/>
      <c r="H273" s="103"/>
      <c r="I273" s="43"/>
    </row>
    <row r="274" spans="1:9" ht="13" x14ac:dyDescent="0.25">
      <c r="A274" s="121" t="s">
        <v>1279</v>
      </c>
      <c r="B274" s="168"/>
      <c r="C274" s="170"/>
      <c r="D274" s="39" t="s">
        <v>1278</v>
      </c>
      <c r="E274" s="39"/>
      <c r="F274" s="38" t="s">
        <v>1280</v>
      </c>
      <c r="G274" s="39"/>
      <c r="H274" s="103"/>
      <c r="I274" s="43"/>
    </row>
    <row r="275" spans="1:9" ht="13" x14ac:dyDescent="0.25">
      <c r="A275" s="121" t="s">
        <v>1281</v>
      </c>
      <c r="B275" s="168"/>
      <c r="C275" s="170"/>
      <c r="D275" s="39"/>
      <c r="E275" s="39"/>
      <c r="F275" s="38" t="s">
        <v>1282</v>
      </c>
      <c r="G275" s="39"/>
      <c r="H275" s="103"/>
      <c r="I275" s="43"/>
    </row>
    <row r="276" spans="1:9" ht="13" x14ac:dyDescent="0.25">
      <c r="A276" s="121" t="s">
        <v>1283</v>
      </c>
      <c r="B276" s="168"/>
      <c r="C276" s="170"/>
      <c r="D276" s="39"/>
      <c r="E276" s="39"/>
      <c r="F276" s="38" t="s">
        <v>899</v>
      </c>
      <c r="G276" s="39"/>
      <c r="H276" s="103"/>
      <c r="I276" s="43"/>
    </row>
    <row r="277" spans="1:9" ht="13" x14ac:dyDescent="0.25">
      <c r="A277" s="121" t="s">
        <v>1286</v>
      </c>
      <c r="B277" s="168"/>
      <c r="C277" s="170"/>
      <c r="D277" s="39" t="s">
        <v>1285</v>
      </c>
      <c r="E277" s="39"/>
      <c r="F277" s="38" t="s">
        <v>1287</v>
      </c>
      <c r="G277" s="39"/>
      <c r="H277" s="103"/>
      <c r="I277" s="43"/>
    </row>
    <row r="278" spans="1:9" ht="13" x14ac:dyDescent="0.25">
      <c r="A278" s="121" t="s">
        <v>1288</v>
      </c>
      <c r="B278" s="168"/>
      <c r="C278" s="170"/>
      <c r="D278" s="39"/>
      <c r="E278" s="39"/>
      <c r="F278" s="38" t="s">
        <v>1282</v>
      </c>
      <c r="G278" s="39"/>
      <c r="H278" s="103"/>
      <c r="I278" s="43"/>
    </row>
    <row r="279" spans="1:9" ht="13" x14ac:dyDescent="0.25">
      <c r="A279" s="121" t="s">
        <v>1289</v>
      </c>
      <c r="B279" s="168"/>
      <c r="C279" s="170"/>
      <c r="D279" s="39"/>
      <c r="E279" s="39"/>
      <c r="F279" s="38" t="s">
        <v>899</v>
      </c>
      <c r="G279" s="39"/>
      <c r="H279" s="103"/>
      <c r="I279" s="43"/>
    </row>
    <row r="280" spans="1:9" ht="13.25" customHeight="1" x14ac:dyDescent="0.25">
      <c r="A280" s="121" t="s">
        <v>1293</v>
      </c>
      <c r="B280" s="168"/>
      <c r="C280" s="170"/>
      <c r="D280" s="39" t="s">
        <v>1291</v>
      </c>
      <c r="E280" s="39" t="s">
        <v>1292</v>
      </c>
      <c r="F280" s="38" t="s">
        <v>1294</v>
      </c>
      <c r="G280" s="39"/>
      <c r="H280" s="103"/>
      <c r="I280" s="43"/>
    </row>
    <row r="281" spans="1:9" ht="13" x14ac:dyDescent="0.25">
      <c r="A281" s="121" t="s">
        <v>1295</v>
      </c>
      <c r="B281" s="168"/>
      <c r="C281" s="170"/>
      <c r="D281" s="39"/>
      <c r="E281" s="39"/>
      <c r="F281" s="38" t="s">
        <v>1296</v>
      </c>
      <c r="G281" s="39"/>
      <c r="H281" s="103"/>
      <c r="I281" s="43"/>
    </row>
    <row r="282" spans="1:9" ht="25" x14ac:dyDescent="0.25">
      <c r="A282" s="121" t="s">
        <v>1302</v>
      </c>
      <c r="B282" s="167" t="s">
        <v>1297</v>
      </c>
      <c r="C282" s="243" t="s">
        <v>1298</v>
      </c>
      <c r="D282" s="39" t="s">
        <v>1300</v>
      </c>
      <c r="E282" s="39" t="s">
        <v>1301</v>
      </c>
      <c r="F282" s="39" t="s">
        <v>1303</v>
      </c>
      <c r="G282" s="39" t="s">
        <v>1304</v>
      </c>
      <c r="H282" s="48" t="s">
        <v>122</v>
      </c>
      <c r="I282" s="36" t="s">
        <v>123</v>
      </c>
    </row>
    <row r="283" spans="1:9" ht="13" x14ac:dyDescent="0.25">
      <c r="A283" s="121" t="s">
        <v>1305</v>
      </c>
      <c r="B283" s="168"/>
      <c r="C283" s="244"/>
      <c r="D283" s="39"/>
      <c r="E283" s="39"/>
      <c r="F283" s="38" t="s">
        <v>721</v>
      </c>
      <c r="G283" s="39"/>
      <c r="H283" s="104"/>
      <c r="I283" s="36" t="s">
        <v>126</v>
      </c>
    </row>
    <row r="284" spans="1:9" ht="13" x14ac:dyDescent="0.25">
      <c r="A284" s="121" t="s">
        <v>1306</v>
      </c>
      <c r="B284" s="168"/>
      <c r="C284" s="244"/>
      <c r="D284" s="39"/>
      <c r="E284" s="39"/>
      <c r="F284" s="38" t="s">
        <v>723</v>
      </c>
      <c r="G284" s="39"/>
      <c r="H284" s="104"/>
      <c r="I284" s="36" t="s">
        <v>129</v>
      </c>
    </row>
    <row r="285" spans="1:9" ht="13.25" customHeight="1" x14ac:dyDescent="0.25">
      <c r="A285" s="121" t="s">
        <v>1307</v>
      </c>
      <c r="B285" s="168"/>
      <c r="C285" s="244"/>
      <c r="D285" s="39"/>
      <c r="E285" s="39"/>
      <c r="F285" s="38" t="s">
        <v>1308</v>
      </c>
      <c r="G285" s="39"/>
      <c r="H285" s="104"/>
      <c r="I285" s="36" t="s">
        <v>132</v>
      </c>
    </row>
    <row r="286" spans="1:9" ht="26.75" customHeight="1" x14ac:dyDescent="0.25">
      <c r="A286" s="121" t="s">
        <v>1311</v>
      </c>
      <c r="B286" s="168"/>
      <c r="C286" s="168"/>
      <c r="D286" s="39" t="s">
        <v>1310</v>
      </c>
      <c r="E286" s="39"/>
      <c r="F286" s="38" t="s">
        <v>1312</v>
      </c>
      <c r="G286" s="39"/>
      <c r="H286" s="104"/>
      <c r="I286" s="36" t="s">
        <v>135</v>
      </c>
    </row>
    <row r="287" spans="1:9" ht="13" x14ac:dyDescent="0.25">
      <c r="A287" s="121" t="s">
        <v>1315</v>
      </c>
      <c r="B287" s="168"/>
      <c r="C287" s="168"/>
      <c r="D287" s="39" t="s">
        <v>1314</v>
      </c>
      <c r="E287" s="39"/>
      <c r="F287" s="38" t="s">
        <v>1308</v>
      </c>
      <c r="G287" s="39"/>
      <c r="H287" s="104"/>
      <c r="I287" s="36" t="s">
        <v>138</v>
      </c>
    </row>
    <row r="288" spans="1:9" ht="13" x14ac:dyDescent="0.25">
      <c r="A288" s="121" t="s">
        <v>1316</v>
      </c>
      <c r="B288" s="168"/>
      <c r="C288" s="170"/>
      <c r="D288" s="39"/>
      <c r="E288" s="39"/>
      <c r="F288" s="38" t="s">
        <v>1317</v>
      </c>
      <c r="G288" s="39"/>
      <c r="H288" s="104"/>
      <c r="I288" s="36" t="s">
        <v>141</v>
      </c>
    </row>
    <row r="289" spans="1:9" ht="13" x14ac:dyDescent="0.25">
      <c r="A289" s="37"/>
      <c r="B289" s="49" t="s">
        <v>2589</v>
      </c>
      <c r="C289" s="50"/>
      <c r="D289" s="51"/>
      <c r="E289" s="51"/>
      <c r="F289" s="51"/>
      <c r="G289" s="51"/>
      <c r="H289" s="104"/>
      <c r="I289" s="36" t="s">
        <v>144</v>
      </c>
    </row>
    <row r="290" spans="1:9" ht="14" customHeight="1" x14ac:dyDescent="0.25">
      <c r="A290" s="37"/>
      <c r="B290" s="52"/>
      <c r="C290" s="53"/>
      <c r="D290" s="54"/>
      <c r="E290" s="51"/>
      <c r="F290" s="54"/>
      <c r="G290" s="51"/>
      <c r="H290" s="104"/>
      <c r="I290" s="36"/>
    </row>
    <row r="291" spans="1:9" ht="13" x14ac:dyDescent="0.25">
      <c r="A291" s="37"/>
      <c r="B291" s="52"/>
      <c r="C291" s="53"/>
      <c r="D291" s="54"/>
      <c r="E291" s="51"/>
      <c r="F291" s="54"/>
      <c r="G291" s="51"/>
      <c r="H291" s="104"/>
      <c r="I291" s="36"/>
    </row>
    <row r="292" spans="1:9" ht="13" x14ac:dyDescent="0.25">
      <c r="A292" s="37"/>
      <c r="B292" s="52"/>
      <c r="C292" s="53"/>
      <c r="D292" s="54"/>
      <c r="E292" s="51"/>
      <c r="F292" s="55"/>
      <c r="G292" s="51"/>
      <c r="H292" s="104"/>
      <c r="I292" s="36"/>
    </row>
    <row r="293" spans="1:9" ht="13.5" thickBot="1" x14ac:dyDescent="0.3">
      <c r="A293" s="37"/>
      <c r="B293" s="56"/>
      <c r="C293" s="57"/>
      <c r="D293" s="114"/>
      <c r="E293" s="59"/>
      <c r="F293" s="58"/>
      <c r="G293" s="59"/>
      <c r="H293" s="105"/>
      <c r="I293" s="36"/>
    </row>
    <row r="294" spans="1:9" ht="13" x14ac:dyDescent="0.25">
      <c r="A294" s="37" t="s">
        <v>1322</v>
      </c>
      <c r="B294" s="167" t="s">
        <v>1318</v>
      </c>
      <c r="C294" s="248" t="s">
        <v>1319</v>
      </c>
      <c r="D294" s="39" t="s">
        <v>1321</v>
      </c>
      <c r="E294" s="39"/>
      <c r="F294" s="38" t="s">
        <v>708</v>
      </c>
      <c r="G294" s="39" t="s">
        <v>1323</v>
      </c>
      <c r="H294" s="42" t="s">
        <v>147</v>
      </c>
      <c r="I294" s="43" t="s">
        <v>150</v>
      </c>
    </row>
    <row r="295" spans="1:9" ht="13" x14ac:dyDescent="0.25">
      <c r="A295" s="37" t="s">
        <v>1324</v>
      </c>
      <c r="B295" s="168"/>
      <c r="C295" s="249"/>
      <c r="D295" s="39"/>
      <c r="E295" s="39"/>
      <c r="F295" s="38" t="s">
        <v>710</v>
      </c>
      <c r="G295" s="39" t="s">
        <v>1325</v>
      </c>
      <c r="H295" s="103"/>
      <c r="I295" s="43" t="s">
        <v>153</v>
      </c>
    </row>
    <row r="296" spans="1:9" ht="14" customHeight="1" x14ac:dyDescent="0.3">
      <c r="A296" s="37" t="s">
        <v>1328</v>
      </c>
      <c r="B296" s="168"/>
      <c r="C296" s="249"/>
      <c r="D296" s="39" t="s">
        <v>715</v>
      </c>
      <c r="E296" s="39" t="s">
        <v>1327</v>
      </c>
      <c r="F296" s="127" t="s">
        <v>694</v>
      </c>
      <c r="G296" s="39" t="s">
        <v>692</v>
      </c>
      <c r="H296" s="103"/>
      <c r="I296" s="43" t="s">
        <v>156</v>
      </c>
    </row>
    <row r="297" spans="1:9" ht="13" x14ac:dyDescent="0.25">
      <c r="A297" s="37" t="s">
        <v>1332</v>
      </c>
      <c r="B297" s="168"/>
      <c r="C297" s="170"/>
      <c r="D297" s="39" t="s">
        <v>1330</v>
      </c>
      <c r="E297" s="39" t="s">
        <v>1331</v>
      </c>
      <c r="F297" s="38" t="s">
        <v>1333</v>
      </c>
      <c r="G297" s="39" t="s">
        <v>1334</v>
      </c>
      <c r="H297" s="103"/>
      <c r="I297" s="43" t="s">
        <v>159</v>
      </c>
    </row>
    <row r="298" spans="1:9" ht="13" x14ac:dyDescent="0.25">
      <c r="A298" s="37" t="s">
        <v>1335</v>
      </c>
      <c r="B298" s="168"/>
      <c r="C298" s="170"/>
      <c r="D298" s="39"/>
      <c r="E298" s="39"/>
      <c r="F298" s="38" t="s">
        <v>1336</v>
      </c>
      <c r="G298" s="39"/>
      <c r="H298" s="103"/>
      <c r="I298" s="43" t="s">
        <v>162</v>
      </c>
    </row>
    <row r="299" spans="1:9" ht="26.75" customHeight="1" x14ac:dyDescent="0.25">
      <c r="A299" s="121" t="s">
        <v>1337</v>
      </c>
      <c r="B299" s="168"/>
      <c r="C299" s="170"/>
      <c r="D299" s="39"/>
      <c r="E299" s="39"/>
      <c r="F299" s="38" t="s">
        <v>1338</v>
      </c>
      <c r="G299" s="39"/>
      <c r="H299" s="103"/>
      <c r="I299" s="43" t="s">
        <v>165</v>
      </c>
    </row>
    <row r="300" spans="1:9" ht="13" x14ac:dyDescent="0.25">
      <c r="A300" s="121" t="s">
        <v>1339</v>
      </c>
      <c r="B300" s="168"/>
      <c r="C300" s="170"/>
      <c r="D300" s="39"/>
      <c r="E300" s="39"/>
      <c r="F300" s="38" t="s">
        <v>1340</v>
      </c>
      <c r="G300" s="39"/>
      <c r="H300" s="103"/>
      <c r="I300" s="43" t="s">
        <v>168</v>
      </c>
    </row>
    <row r="301" spans="1:9" ht="13" x14ac:dyDescent="0.25">
      <c r="A301" s="121" t="s">
        <v>1345</v>
      </c>
      <c r="B301" s="167" t="s">
        <v>52</v>
      </c>
      <c r="C301" s="248" t="s">
        <v>1341</v>
      </c>
      <c r="D301" s="39" t="s">
        <v>1343</v>
      </c>
      <c r="E301" s="39" t="s">
        <v>1344</v>
      </c>
      <c r="F301" s="38" t="s">
        <v>1346</v>
      </c>
      <c r="G301" s="39" t="s">
        <v>1347</v>
      </c>
      <c r="H301" s="103"/>
      <c r="I301" s="43" t="s">
        <v>171</v>
      </c>
    </row>
    <row r="302" spans="1:9" ht="26.75" customHeight="1" x14ac:dyDescent="0.25">
      <c r="A302" s="121" t="s">
        <v>1348</v>
      </c>
      <c r="B302" s="168"/>
      <c r="C302" s="249"/>
      <c r="D302" s="39"/>
      <c r="E302" s="39"/>
      <c r="F302" s="38" t="s">
        <v>1349</v>
      </c>
      <c r="G302" s="39" t="s">
        <v>1350</v>
      </c>
      <c r="H302" s="103"/>
      <c r="I302" s="43" t="s">
        <v>174</v>
      </c>
    </row>
    <row r="303" spans="1:9" ht="13" x14ac:dyDescent="0.25">
      <c r="A303" s="121" t="s">
        <v>1353</v>
      </c>
      <c r="B303" s="168"/>
      <c r="C303" s="170"/>
      <c r="D303" s="39" t="s">
        <v>1352</v>
      </c>
      <c r="E303" s="39"/>
      <c r="F303" s="38" t="s">
        <v>1354</v>
      </c>
      <c r="G303" s="39" t="s">
        <v>1355</v>
      </c>
      <c r="H303" s="103"/>
      <c r="I303" s="43" t="s">
        <v>177</v>
      </c>
    </row>
    <row r="304" spans="1:9" ht="13" x14ac:dyDescent="0.25">
      <c r="A304" s="122" t="s">
        <v>1356</v>
      </c>
      <c r="B304" s="168"/>
      <c r="C304" s="170"/>
      <c r="D304" s="39"/>
      <c r="E304" s="39"/>
      <c r="F304" s="38" t="s">
        <v>650</v>
      </c>
      <c r="G304" s="39"/>
      <c r="H304" s="103"/>
      <c r="I304" s="43" t="s">
        <v>180</v>
      </c>
    </row>
    <row r="305" spans="1:9" ht="25" x14ac:dyDescent="0.25">
      <c r="A305" s="121" t="s">
        <v>1362</v>
      </c>
      <c r="B305" s="167" t="s">
        <v>1357</v>
      </c>
      <c r="C305" s="248" t="s">
        <v>1358</v>
      </c>
      <c r="D305" s="39" t="s">
        <v>1360</v>
      </c>
      <c r="E305" s="39" t="s">
        <v>1361</v>
      </c>
      <c r="F305" s="38" t="s">
        <v>1363</v>
      </c>
      <c r="G305" s="39"/>
      <c r="H305" s="103"/>
      <c r="I305" s="43"/>
    </row>
    <row r="306" spans="1:9" ht="13" x14ac:dyDescent="0.25">
      <c r="A306" s="122" t="s">
        <v>1364</v>
      </c>
      <c r="B306" s="168"/>
      <c r="C306" s="249"/>
      <c r="D306" s="39"/>
      <c r="E306" s="39"/>
      <c r="F306" s="38" t="s">
        <v>1365</v>
      </c>
      <c r="G306" s="39"/>
      <c r="H306" s="103"/>
      <c r="I306" s="43"/>
    </row>
    <row r="307" spans="1:9" ht="13" x14ac:dyDescent="0.25">
      <c r="A307" s="121" t="s">
        <v>1366</v>
      </c>
      <c r="B307" s="168"/>
      <c r="C307" s="249"/>
      <c r="D307" s="39"/>
      <c r="E307" s="39"/>
      <c r="F307" s="38" t="s">
        <v>1367</v>
      </c>
      <c r="G307" s="39"/>
      <c r="H307" s="103"/>
      <c r="I307" s="43"/>
    </row>
    <row r="308" spans="1:9" ht="13" x14ac:dyDescent="0.25">
      <c r="A308" s="122" t="s">
        <v>1368</v>
      </c>
      <c r="B308" s="168"/>
      <c r="C308" s="249"/>
      <c r="D308" s="39"/>
      <c r="E308" s="39"/>
      <c r="F308" s="38" t="s">
        <v>1369</v>
      </c>
      <c r="G308" s="39"/>
      <c r="H308" s="103"/>
      <c r="I308" s="43"/>
    </row>
    <row r="309" spans="1:9" ht="13.25" customHeight="1" x14ac:dyDescent="0.25">
      <c r="A309" s="121" t="s">
        <v>1370</v>
      </c>
      <c r="B309" s="168"/>
      <c r="C309" s="249"/>
      <c r="D309" s="39"/>
      <c r="E309" s="39"/>
      <c r="F309" s="38" t="s">
        <v>1371</v>
      </c>
      <c r="G309" s="39"/>
      <c r="H309" s="103"/>
      <c r="I309" s="43"/>
    </row>
    <row r="310" spans="1:9" ht="13" x14ac:dyDescent="0.25">
      <c r="A310" s="122" t="s">
        <v>1372</v>
      </c>
      <c r="B310" s="168"/>
      <c r="C310" s="249"/>
      <c r="D310" s="39"/>
      <c r="E310" s="39"/>
      <c r="F310" s="38" t="s">
        <v>1373</v>
      </c>
      <c r="G310" s="39" t="s">
        <v>1374</v>
      </c>
      <c r="H310" s="103"/>
      <c r="I310" s="43"/>
    </row>
    <row r="311" spans="1:9" ht="13" x14ac:dyDescent="0.25">
      <c r="A311" s="121" t="s">
        <v>1375</v>
      </c>
      <c r="B311" s="168"/>
      <c r="C311" s="249"/>
      <c r="D311" s="39"/>
      <c r="E311" s="39"/>
      <c r="F311" s="38" t="s">
        <v>1376</v>
      </c>
      <c r="G311" s="39" t="s">
        <v>1377</v>
      </c>
      <c r="H311" s="103"/>
      <c r="I311" s="43"/>
    </row>
    <row r="312" spans="1:9" ht="13" x14ac:dyDescent="0.25">
      <c r="A312" s="122" t="s">
        <v>1378</v>
      </c>
      <c r="B312" s="168"/>
      <c r="C312" s="249"/>
      <c r="D312" s="39"/>
      <c r="E312" s="39"/>
      <c r="F312" s="38" t="s">
        <v>1379</v>
      </c>
      <c r="G312" s="39"/>
      <c r="H312" s="103"/>
      <c r="I312" s="43"/>
    </row>
    <row r="313" spans="1:9" ht="13.25" customHeight="1" x14ac:dyDescent="0.3">
      <c r="A313" s="121" t="s">
        <v>1381</v>
      </c>
      <c r="B313" s="168"/>
      <c r="C313" s="249"/>
      <c r="D313" s="39" t="s">
        <v>932</v>
      </c>
      <c r="E313" s="39"/>
      <c r="F313" s="127" t="s">
        <v>694</v>
      </c>
      <c r="G313" s="39" t="s">
        <v>692</v>
      </c>
      <c r="H313" s="103"/>
      <c r="I313" s="43"/>
    </row>
    <row r="314" spans="1:9" ht="25.5" x14ac:dyDescent="0.3">
      <c r="A314" s="122" t="s">
        <v>1383</v>
      </c>
      <c r="B314" s="168"/>
      <c r="C314" s="170"/>
      <c r="D314" s="39" t="s">
        <v>733</v>
      </c>
      <c r="E314" s="39"/>
      <c r="F314" s="127" t="s">
        <v>694</v>
      </c>
      <c r="G314" s="39" t="s">
        <v>692</v>
      </c>
      <c r="H314" s="103"/>
      <c r="I314" s="43"/>
    </row>
    <row r="315" spans="1:9" ht="13" x14ac:dyDescent="0.25">
      <c r="A315" s="121" t="s">
        <v>1386</v>
      </c>
      <c r="B315" s="168"/>
      <c r="C315" s="170"/>
      <c r="D315" s="39" t="s">
        <v>1385</v>
      </c>
      <c r="E315" s="39"/>
      <c r="F315" s="38" t="s">
        <v>644</v>
      </c>
      <c r="G315" s="39"/>
      <c r="H315" s="103"/>
      <c r="I315" s="43"/>
    </row>
    <row r="316" spans="1:9" ht="13" x14ac:dyDescent="0.25">
      <c r="A316" s="122" t="s">
        <v>1387</v>
      </c>
      <c r="B316" s="168"/>
      <c r="C316" s="170"/>
      <c r="D316" s="39"/>
      <c r="E316" s="39"/>
      <c r="F316" s="38" t="s">
        <v>650</v>
      </c>
      <c r="G316" s="39"/>
      <c r="H316" s="103"/>
      <c r="I316" s="43"/>
    </row>
    <row r="317" spans="1:9" ht="13" x14ac:dyDescent="0.25">
      <c r="A317" s="121" t="s">
        <v>1388</v>
      </c>
      <c r="B317" s="168"/>
      <c r="C317" s="170"/>
      <c r="D317" s="39"/>
      <c r="E317" s="39"/>
      <c r="F317" s="38" t="s">
        <v>878</v>
      </c>
      <c r="G317" s="39"/>
      <c r="H317" s="103"/>
      <c r="I317" s="43"/>
    </row>
    <row r="318" spans="1:9" ht="25" x14ac:dyDescent="0.25">
      <c r="A318" s="122" t="s">
        <v>1394</v>
      </c>
      <c r="B318" s="167" t="s">
        <v>1389</v>
      </c>
      <c r="C318" s="169" t="s">
        <v>1390</v>
      </c>
      <c r="D318" s="39" t="s">
        <v>1392</v>
      </c>
      <c r="E318" s="39" t="s">
        <v>1393</v>
      </c>
      <c r="F318" s="38" t="s">
        <v>925</v>
      </c>
      <c r="G318" s="39" t="s">
        <v>1395</v>
      </c>
      <c r="H318" s="103"/>
      <c r="I318" s="43"/>
    </row>
    <row r="319" spans="1:9" ht="25" x14ac:dyDescent="0.25">
      <c r="A319" s="121" t="s">
        <v>1396</v>
      </c>
      <c r="B319" s="168"/>
      <c r="C319" s="170"/>
      <c r="D319" s="39"/>
      <c r="E319" s="39"/>
      <c r="F319" s="38" t="s">
        <v>1397</v>
      </c>
      <c r="G319" s="39" t="s">
        <v>1398</v>
      </c>
      <c r="H319" s="103"/>
      <c r="I319" s="43"/>
    </row>
    <row r="320" spans="1:9" ht="13" x14ac:dyDescent="0.25">
      <c r="A320" s="122" t="s">
        <v>1399</v>
      </c>
      <c r="B320" s="168"/>
      <c r="C320" s="170"/>
      <c r="D320" s="39"/>
      <c r="E320" s="39"/>
      <c r="F320" s="38" t="s">
        <v>652</v>
      </c>
      <c r="G320" s="39" t="s">
        <v>1400</v>
      </c>
      <c r="H320" s="103"/>
      <c r="I320" s="43"/>
    </row>
    <row r="321" spans="1:9" ht="25.5" x14ac:dyDescent="0.3">
      <c r="A321" s="121" t="s">
        <v>1402</v>
      </c>
      <c r="B321" s="168"/>
      <c r="C321" s="170"/>
      <c r="D321" s="39" t="s">
        <v>932</v>
      </c>
      <c r="E321" s="39"/>
      <c r="F321" s="127" t="s">
        <v>694</v>
      </c>
      <c r="G321" s="39" t="s">
        <v>692</v>
      </c>
      <c r="H321" s="103"/>
      <c r="I321" s="43"/>
    </row>
    <row r="322" spans="1:9" ht="25.5" x14ac:dyDescent="0.3">
      <c r="A322" s="122" t="s">
        <v>1404</v>
      </c>
      <c r="B322" s="168"/>
      <c r="C322" s="170"/>
      <c r="D322" s="39" t="s">
        <v>733</v>
      </c>
      <c r="E322" s="39"/>
      <c r="F322" s="127" t="s">
        <v>694</v>
      </c>
      <c r="G322" s="39" t="s">
        <v>692</v>
      </c>
      <c r="H322" s="103"/>
      <c r="I322" s="43"/>
    </row>
    <row r="323" spans="1:9" ht="13" x14ac:dyDescent="0.25">
      <c r="A323" s="121" t="s">
        <v>1408</v>
      </c>
      <c r="B323" s="168"/>
      <c r="C323" s="170"/>
      <c r="D323" s="39" t="s">
        <v>1406</v>
      </c>
      <c r="E323" s="39" t="s">
        <v>1407</v>
      </c>
      <c r="F323" s="38" t="s">
        <v>1409</v>
      </c>
      <c r="G323" s="39"/>
      <c r="H323" s="103"/>
      <c r="I323" s="43"/>
    </row>
    <row r="324" spans="1:9" ht="13" x14ac:dyDescent="0.25">
      <c r="A324" s="122" t="s">
        <v>1410</v>
      </c>
      <c r="B324" s="168"/>
      <c r="C324" s="170"/>
      <c r="D324" s="39"/>
      <c r="E324" s="39"/>
      <c r="F324" s="38" t="s">
        <v>889</v>
      </c>
      <c r="G324" s="39"/>
      <c r="H324" s="103"/>
      <c r="I324" s="43"/>
    </row>
    <row r="325" spans="1:9" ht="13" x14ac:dyDescent="0.25">
      <c r="A325" s="121" t="s">
        <v>1411</v>
      </c>
      <c r="B325" s="168"/>
      <c r="C325" s="170"/>
      <c r="D325" s="39"/>
      <c r="E325" s="39"/>
      <c r="F325" s="38" t="s">
        <v>1412</v>
      </c>
      <c r="G325" s="39"/>
      <c r="H325" s="103"/>
      <c r="I325" s="43"/>
    </row>
    <row r="326" spans="1:9" ht="13" x14ac:dyDescent="0.25">
      <c r="A326" s="122" t="s">
        <v>1413</v>
      </c>
      <c r="B326" s="168"/>
      <c r="C326" s="170"/>
      <c r="D326" s="39"/>
      <c r="E326" s="39"/>
      <c r="F326" s="38" t="s">
        <v>1414</v>
      </c>
      <c r="G326" s="39"/>
      <c r="H326" s="103"/>
      <c r="I326" s="43"/>
    </row>
    <row r="327" spans="1:9" ht="13" x14ac:dyDescent="0.25">
      <c r="A327" s="121" t="s">
        <v>1415</v>
      </c>
      <c r="B327" s="168"/>
      <c r="C327" s="170"/>
      <c r="D327" s="39"/>
      <c r="E327" s="39"/>
      <c r="F327" s="38" t="s">
        <v>1416</v>
      </c>
      <c r="G327" s="39"/>
      <c r="H327" s="103"/>
      <c r="I327" s="43"/>
    </row>
    <row r="328" spans="1:9" ht="13" x14ac:dyDescent="0.25">
      <c r="A328" s="122" t="s">
        <v>1417</v>
      </c>
      <c r="B328" s="168"/>
      <c r="C328" s="170"/>
      <c r="D328" s="39"/>
      <c r="E328" s="39"/>
      <c r="F328" s="38" t="s">
        <v>880</v>
      </c>
      <c r="G328" s="39" t="s">
        <v>1418</v>
      </c>
      <c r="H328" s="103"/>
      <c r="I328" s="43"/>
    </row>
    <row r="329" spans="1:9" ht="13" x14ac:dyDescent="0.25">
      <c r="A329" s="121" t="s">
        <v>1419</v>
      </c>
      <c r="B329" s="168"/>
      <c r="C329" s="170"/>
      <c r="D329" s="39"/>
      <c r="E329" s="39"/>
      <c r="F329" s="38" t="s">
        <v>882</v>
      </c>
      <c r="G329" s="39" t="s">
        <v>1420</v>
      </c>
      <c r="H329" s="103"/>
      <c r="I329" s="43"/>
    </row>
    <row r="330" spans="1:9" ht="25" x14ac:dyDescent="0.25">
      <c r="A330" s="122" t="s">
        <v>1423</v>
      </c>
      <c r="B330" s="168"/>
      <c r="C330" s="170"/>
      <c r="D330" s="39" t="s">
        <v>1007</v>
      </c>
      <c r="E330" s="39" t="s">
        <v>1422</v>
      </c>
      <c r="F330" s="38" t="s">
        <v>644</v>
      </c>
      <c r="G330" s="39"/>
      <c r="H330" s="103"/>
      <c r="I330" s="43"/>
    </row>
    <row r="331" spans="1:9" ht="13" x14ac:dyDescent="0.25">
      <c r="A331" s="121" t="s">
        <v>1424</v>
      </c>
      <c r="B331" s="168"/>
      <c r="C331" s="170"/>
      <c r="D331" s="39"/>
      <c r="E331" s="39"/>
      <c r="F331" s="38" t="s">
        <v>646</v>
      </c>
      <c r="G331" s="39"/>
      <c r="H331" s="103"/>
      <c r="I331" s="43"/>
    </row>
    <row r="332" spans="1:9" ht="13" x14ac:dyDescent="0.25">
      <c r="A332" s="122" t="s">
        <v>1425</v>
      </c>
      <c r="B332" s="173"/>
      <c r="C332" s="171"/>
      <c r="D332" s="39"/>
      <c r="E332" s="39"/>
      <c r="F332" s="38" t="s">
        <v>650</v>
      </c>
      <c r="G332" s="39"/>
      <c r="H332" s="103"/>
      <c r="I332" s="43"/>
    </row>
    <row r="333" spans="1:9" ht="25" x14ac:dyDescent="0.25">
      <c r="A333" s="121" t="s">
        <v>1430</v>
      </c>
      <c r="B333" s="167" t="s">
        <v>1426</v>
      </c>
      <c r="C333" s="169" t="s">
        <v>1427</v>
      </c>
      <c r="D333" s="39" t="s">
        <v>1429</v>
      </c>
      <c r="E333" s="39"/>
      <c r="F333" s="38" t="s">
        <v>1431</v>
      </c>
      <c r="G333" s="39"/>
      <c r="H333" s="103"/>
      <c r="I333" s="43"/>
    </row>
    <row r="334" spans="1:9" ht="13" x14ac:dyDescent="0.25">
      <c r="A334" s="122" t="s">
        <v>1432</v>
      </c>
      <c r="B334" s="168"/>
      <c r="C334" s="170"/>
      <c r="D334" s="39"/>
      <c r="E334" s="39"/>
      <c r="F334" s="38" t="s">
        <v>1363</v>
      </c>
      <c r="G334" s="39"/>
      <c r="H334" s="103"/>
      <c r="I334" s="43"/>
    </row>
    <row r="335" spans="1:9" ht="13" x14ac:dyDescent="0.25">
      <c r="A335" s="121" t="s">
        <v>1433</v>
      </c>
      <c r="B335" s="168"/>
      <c r="C335" s="170"/>
      <c r="D335" s="39"/>
      <c r="E335" s="39"/>
      <c r="F335" s="38" t="s">
        <v>1220</v>
      </c>
      <c r="G335" s="39"/>
      <c r="H335" s="103"/>
      <c r="I335" s="43"/>
    </row>
    <row r="336" spans="1:9" ht="25.5" x14ac:dyDescent="0.3">
      <c r="A336" s="122" t="s">
        <v>1436</v>
      </c>
      <c r="B336" s="168"/>
      <c r="C336" s="170"/>
      <c r="D336" s="39" t="s">
        <v>1435</v>
      </c>
      <c r="E336" s="39"/>
      <c r="F336" s="127" t="s">
        <v>694</v>
      </c>
      <c r="G336" s="39" t="s">
        <v>692</v>
      </c>
      <c r="H336" s="103"/>
      <c r="I336" s="43"/>
    </row>
    <row r="337" spans="1:9" ht="13" x14ac:dyDescent="0.25">
      <c r="A337" s="121" t="s">
        <v>1437</v>
      </c>
      <c r="B337" s="168"/>
      <c r="C337" s="170"/>
      <c r="D337" s="39"/>
      <c r="E337" s="39"/>
      <c r="F337" s="38" t="s">
        <v>684</v>
      </c>
      <c r="G337" s="39"/>
      <c r="H337" s="103"/>
      <c r="I337" s="43"/>
    </row>
    <row r="338" spans="1:9" ht="13" x14ac:dyDescent="0.25">
      <c r="A338" s="122" t="s">
        <v>1440</v>
      </c>
      <c r="B338" s="168"/>
      <c r="C338" s="170"/>
      <c r="D338" s="39" t="s">
        <v>1439</v>
      </c>
      <c r="E338" s="39"/>
      <c r="F338" s="38" t="s">
        <v>644</v>
      </c>
      <c r="G338" s="39"/>
      <c r="H338" s="103"/>
      <c r="I338" s="43"/>
    </row>
    <row r="339" spans="1:9" ht="13" x14ac:dyDescent="0.25">
      <c r="A339" s="121" t="s">
        <v>1441</v>
      </c>
      <c r="B339" s="168"/>
      <c r="C339" s="170"/>
      <c r="D339" s="39"/>
      <c r="E339" s="39"/>
      <c r="F339" s="38" t="s">
        <v>646</v>
      </c>
      <c r="G339" s="39"/>
      <c r="H339" s="103"/>
      <c r="I339" s="43"/>
    </row>
    <row r="340" spans="1:9" ht="13" x14ac:dyDescent="0.25">
      <c r="A340" s="122" t="s">
        <v>1442</v>
      </c>
      <c r="B340" s="168"/>
      <c r="C340" s="170"/>
      <c r="D340" s="39"/>
      <c r="E340" s="39"/>
      <c r="F340" s="38" t="s">
        <v>1443</v>
      </c>
      <c r="G340" s="39"/>
      <c r="H340" s="103"/>
      <c r="I340" s="43"/>
    </row>
    <row r="341" spans="1:9" ht="13" x14ac:dyDescent="0.25">
      <c r="A341" s="121" t="s">
        <v>1444</v>
      </c>
      <c r="B341" s="173"/>
      <c r="C341" s="171"/>
      <c r="D341" s="39"/>
      <c r="E341" s="39"/>
      <c r="F341" s="38" t="s">
        <v>1445</v>
      </c>
      <c r="G341" s="39"/>
      <c r="H341" s="103"/>
      <c r="I341" s="43"/>
    </row>
    <row r="342" spans="1:9" ht="25" x14ac:dyDescent="0.25">
      <c r="A342" s="122" t="s">
        <v>1449</v>
      </c>
      <c r="B342" s="167" t="s">
        <v>1446</v>
      </c>
      <c r="C342" s="169" t="s">
        <v>1447</v>
      </c>
      <c r="D342" s="39" t="s">
        <v>796</v>
      </c>
      <c r="E342" s="39"/>
      <c r="F342" s="38" t="s">
        <v>644</v>
      </c>
      <c r="G342" s="39"/>
      <c r="H342" s="103"/>
      <c r="I342" s="43"/>
    </row>
    <row r="343" spans="1:9" ht="13" x14ac:dyDescent="0.25">
      <c r="A343" s="121" t="s">
        <v>1450</v>
      </c>
      <c r="B343" s="168"/>
      <c r="C343" s="170"/>
      <c r="D343" s="39"/>
      <c r="E343" s="39"/>
      <c r="F343" s="38" t="s">
        <v>646</v>
      </c>
      <c r="G343" s="39"/>
      <c r="H343" s="103"/>
      <c r="I343" s="43"/>
    </row>
    <row r="344" spans="1:9" ht="13" x14ac:dyDescent="0.25">
      <c r="A344" s="122" t="s">
        <v>1453</v>
      </c>
      <c r="B344" s="173"/>
      <c r="C344" s="171"/>
      <c r="D344" s="39" t="s">
        <v>1452</v>
      </c>
      <c r="E344" s="39"/>
      <c r="F344" s="38" t="s">
        <v>1259</v>
      </c>
      <c r="G344" s="39"/>
      <c r="H344" s="103"/>
      <c r="I344" s="43"/>
    </row>
    <row r="345" spans="1:9" ht="25" x14ac:dyDescent="0.25">
      <c r="A345" s="121" t="s">
        <v>1458</v>
      </c>
      <c r="B345" s="167" t="s">
        <v>1454</v>
      </c>
      <c r="C345" s="169" t="s">
        <v>1455</v>
      </c>
      <c r="D345" s="39" t="s">
        <v>1457</v>
      </c>
      <c r="E345" s="39"/>
      <c r="F345" s="38" t="s">
        <v>1459</v>
      </c>
      <c r="G345" s="39"/>
      <c r="H345" s="103"/>
      <c r="I345" s="43"/>
    </row>
    <row r="346" spans="1:9" ht="13" x14ac:dyDescent="0.25">
      <c r="A346" s="122" t="s">
        <v>1460</v>
      </c>
      <c r="B346" s="168"/>
      <c r="C346" s="170"/>
      <c r="D346" s="39"/>
      <c r="E346" s="39"/>
      <c r="F346" s="38" t="s">
        <v>1363</v>
      </c>
      <c r="G346" s="39"/>
      <c r="H346" s="103"/>
      <c r="I346" s="43"/>
    </row>
    <row r="347" spans="1:9" ht="13" x14ac:dyDescent="0.25">
      <c r="A347" s="121" t="s">
        <v>1461</v>
      </c>
      <c r="B347" s="168"/>
      <c r="C347" s="170"/>
      <c r="D347" s="39"/>
      <c r="E347" s="39"/>
      <c r="F347" s="38" t="s">
        <v>684</v>
      </c>
      <c r="G347" s="39"/>
      <c r="H347" s="103"/>
      <c r="I347" s="43"/>
    </row>
    <row r="348" spans="1:9" ht="25.5" x14ac:dyDescent="0.3">
      <c r="A348" s="122" t="s">
        <v>1463</v>
      </c>
      <c r="B348" s="168"/>
      <c r="C348" s="170"/>
      <c r="D348" s="39" t="s">
        <v>932</v>
      </c>
      <c r="E348" s="39"/>
      <c r="F348" s="127" t="s">
        <v>694</v>
      </c>
      <c r="G348" s="39" t="s">
        <v>692</v>
      </c>
      <c r="H348" s="103"/>
      <c r="I348" s="43"/>
    </row>
    <row r="349" spans="1:9" ht="25.5" x14ac:dyDescent="0.3">
      <c r="A349" s="121" t="s">
        <v>1465</v>
      </c>
      <c r="B349" s="168"/>
      <c r="C349" s="170"/>
      <c r="D349" s="39" t="s">
        <v>733</v>
      </c>
      <c r="E349" s="39"/>
      <c r="F349" s="127" t="s">
        <v>694</v>
      </c>
      <c r="G349" s="39" t="s">
        <v>692</v>
      </c>
      <c r="H349" s="103"/>
      <c r="I349" s="43"/>
    </row>
    <row r="350" spans="1:9" ht="13" x14ac:dyDescent="0.25">
      <c r="A350" s="122" t="s">
        <v>1468</v>
      </c>
      <c r="B350" s="168"/>
      <c r="C350" s="170"/>
      <c r="D350" s="39" t="s">
        <v>1467</v>
      </c>
      <c r="E350" s="39"/>
      <c r="F350" s="38" t="s">
        <v>644</v>
      </c>
      <c r="G350" s="39"/>
      <c r="H350" s="103"/>
      <c r="I350" s="43"/>
    </row>
    <row r="351" spans="1:9" ht="13" x14ac:dyDescent="0.25">
      <c r="A351" s="121" t="s">
        <v>1469</v>
      </c>
      <c r="B351" s="168"/>
      <c r="C351" s="170"/>
      <c r="D351" s="39"/>
      <c r="E351" s="39"/>
      <c r="F351" s="38" t="s">
        <v>646</v>
      </c>
      <c r="G351" s="39"/>
      <c r="H351" s="103"/>
      <c r="I351" s="43"/>
    </row>
    <row r="352" spans="1:9" ht="13" x14ac:dyDescent="0.25">
      <c r="A352" s="122" t="s">
        <v>1470</v>
      </c>
      <c r="B352" s="173"/>
      <c r="C352" s="171"/>
      <c r="D352" s="39"/>
      <c r="E352" s="39"/>
      <c r="F352" s="38" t="s">
        <v>650</v>
      </c>
      <c r="G352" s="39"/>
      <c r="H352" s="103"/>
      <c r="I352" s="43"/>
    </row>
    <row r="353" spans="1:9" ht="37.5" x14ac:dyDescent="0.25">
      <c r="A353" s="121" t="s">
        <v>1475</v>
      </c>
      <c r="B353" s="167" t="s">
        <v>1471</v>
      </c>
      <c r="C353" s="169" t="s">
        <v>1472</v>
      </c>
      <c r="D353" s="39" t="s">
        <v>1474</v>
      </c>
      <c r="E353" s="39"/>
      <c r="F353" s="38" t="s">
        <v>1476</v>
      </c>
      <c r="G353" s="39"/>
      <c r="H353" s="103"/>
      <c r="I353" s="43"/>
    </row>
    <row r="354" spans="1:9" ht="13" x14ac:dyDescent="0.25">
      <c r="A354" s="122" t="s">
        <v>1477</v>
      </c>
      <c r="B354" s="168"/>
      <c r="C354" s="170"/>
      <c r="D354" s="39"/>
      <c r="E354" s="39"/>
      <c r="F354" s="38" t="s">
        <v>1478</v>
      </c>
      <c r="G354" s="39"/>
      <c r="H354" s="103"/>
      <c r="I354" s="43"/>
    </row>
    <row r="355" spans="1:9" ht="13" x14ac:dyDescent="0.25">
      <c r="A355" s="121" t="s">
        <v>1479</v>
      </c>
      <c r="B355" s="168"/>
      <c r="C355" s="170"/>
      <c r="D355" s="39"/>
      <c r="E355" s="39"/>
      <c r="F355" s="38" t="s">
        <v>1480</v>
      </c>
      <c r="G355" s="39"/>
      <c r="H355" s="103"/>
      <c r="I355" s="43"/>
    </row>
    <row r="356" spans="1:9" ht="13" x14ac:dyDescent="0.25">
      <c r="A356" s="122" t="s">
        <v>1481</v>
      </c>
      <c r="B356" s="168"/>
      <c r="C356" s="170"/>
      <c r="D356" s="39"/>
      <c r="E356" s="39"/>
      <c r="F356" s="38" t="s">
        <v>1376</v>
      </c>
      <c r="G356" s="39"/>
      <c r="H356" s="103"/>
      <c r="I356" s="43"/>
    </row>
    <row r="357" spans="1:9" ht="25.5" x14ac:dyDescent="0.3">
      <c r="A357" s="121" t="s">
        <v>1483</v>
      </c>
      <c r="B357" s="168"/>
      <c r="C357" s="170"/>
      <c r="D357" s="39" t="s">
        <v>733</v>
      </c>
      <c r="E357" s="39"/>
      <c r="F357" s="127" t="s">
        <v>694</v>
      </c>
      <c r="G357" s="39" t="s">
        <v>692</v>
      </c>
      <c r="H357" s="103"/>
      <c r="I357" s="43"/>
    </row>
    <row r="358" spans="1:9" ht="25.5" x14ac:dyDescent="0.3">
      <c r="A358" s="122" t="s">
        <v>1485</v>
      </c>
      <c r="B358" s="168"/>
      <c r="C358" s="170"/>
      <c r="D358" s="39" t="s">
        <v>932</v>
      </c>
      <c r="E358" s="39"/>
      <c r="F358" s="127" t="s">
        <v>694</v>
      </c>
      <c r="G358" s="39" t="s">
        <v>692</v>
      </c>
      <c r="H358" s="103"/>
      <c r="I358" s="43"/>
    </row>
    <row r="359" spans="1:9" ht="25.5" x14ac:dyDescent="0.3">
      <c r="A359" s="121" t="s">
        <v>1488</v>
      </c>
      <c r="B359" s="168"/>
      <c r="C359" s="170"/>
      <c r="D359" s="39" t="s">
        <v>980</v>
      </c>
      <c r="E359" s="39" t="s">
        <v>1487</v>
      </c>
      <c r="F359" s="127" t="s">
        <v>694</v>
      </c>
      <c r="G359" s="39" t="s">
        <v>692</v>
      </c>
      <c r="H359" s="103"/>
      <c r="I359" s="43"/>
    </row>
    <row r="360" spans="1:9" ht="37.5" x14ac:dyDescent="0.25">
      <c r="A360" s="122" t="s">
        <v>1492</v>
      </c>
      <c r="B360" s="168"/>
      <c r="C360" s="170"/>
      <c r="D360" s="39" t="s">
        <v>1490</v>
      </c>
      <c r="E360" s="39" t="s">
        <v>1491</v>
      </c>
      <c r="F360" s="38" t="s">
        <v>1493</v>
      </c>
      <c r="G360" s="39"/>
      <c r="H360" s="103"/>
      <c r="I360" s="43"/>
    </row>
    <row r="361" spans="1:9" ht="13" x14ac:dyDescent="0.25">
      <c r="A361" s="121" t="s">
        <v>1494</v>
      </c>
      <c r="B361" s="168"/>
      <c r="C361" s="170"/>
      <c r="D361" s="39"/>
      <c r="E361" s="39"/>
      <c r="F361" s="38" t="s">
        <v>1495</v>
      </c>
      <c r="G361" s="39"/>
      <c r="H361" s="103"/>
      <c r="I361" s="43"/>
    </row>
    <row r="362" spans="1:9" ht="13" x14ac:dyDescent="0.25">
      <c r="A362" s="122" t="s">
        <v>1496</v>
      </c>
      <c r="B362" s="168"/>
      <c r="C362" s="170"/>
      <c r="D362" s="39"/>
      <c r="E362" s="39"/>
      <c r="F362" s="38" t="s">
        <v>1497</v>
      </c>
      <c r="G362" s="39"/>
      <c r="H362" s="103"/>
      <c r="I362" s="43"/>
    </row>
    <row r="363" spans="1:9" ht="13" x14ac:dyDescent="0.25">
      <c r="A363" s="121" t="s">
        <v>1498</v>
      </c>
      <c r="B363" s="168"/>
      <c r="C363" s="170"/>
      <c r="D363" s="39"/>
      <c r="E363" s="39"/>
      <c r="F363" s="38" t="s">
        <v>1499</v>
      </c>
      <c r="G363" s="39"/>
      <c r="H363" s="103"/>
      <c r="I363" s="43"/>
    </row>
    <row r="364" spans="1:9" ht="13" x14ac:dyDescent="0.25">
      <c r="A364" s="122" t="s">
        <v>1500</v>
      </c>
      <c r="B364" s="168"/>
      <c r="C364" s="170"/>
      <c r="D364" s="39"/>
      <c r="E364" s="39"/>
      <c r="F364" s="38" t="s">
        <v>1501</v>
      </c>
      <c r="G364" s="39"/>
      <c r="H364" s="103"/>
      <c r="I364" s="43"/>
    </row>
    <row r="365" spans="1:9" ht="13" x14ac:dyDescent="0.25">
      <c r="A365" s="121" t="s">
        <v>1502</v>
      </c>
      <c r="B365" s="168"/>
      <c r="C365" s="170"/>
      <c r="D365" s="39"/>
      <c r="E365" s="39"/>
      <c r="F365" s="38" t="s">
        <v>1503</v>
      </c>
      <c r="G365" s="39"/>
      <c r="H365" s="103"/>
      <c r="I365" s="43"/>
    </row>
    <row r="366" spans="1:9" ht="13" x14ac:dyDescent="0.25">
      <c r="A366" s="122" t="s">
        <v>1504</v>
      </c>
      <c r="B366" s="168"/>
      <c r="C366" s="170"/>
      <c r="D366" s="39"/>
      <c r="E366" s="39"/>
      <c r="F366" s="38" t="s">
        <v>1505</v>
      </c>
      <c r="G366" s="39"/>
      <c r="H366" s="103"/>
      <c r="I366" s="43"/>
    </row>
    <row r="367" spans="1:9" ht="13" x14ac:dyDescent="0.25">
      <c r="A367" s="121" t="s">
        <v>1508</v>
      </c>
      <c r="B367" s="168"/>
      <c r="C367" s="170"/>
      <c r="D367" s="39" t="s">
        <v>1507</v>
      </c>
      <c r="E367" s="39"/>
      <c r="F367" s="38" t="s">
        <v>1509</v>
      </c>
      <c r="G367" s="39" t="s">
        <v>1510</v>
      </c>
      <c r="H367" s="103"/>
      <c r="I367" s="43"/>
    </row>
    <row r="368" spans="1:9" ht="25" x14ac:dyDescent="0.25">
      <c r="A368" s="122" t="s">
        <v>1511</v>
      </c>
      <c r="B368" s="168"/>
      <c r="C368" s="170"/>
      <c r="D368" s="39"/>
      <c r="E368" s="39"/>
      <c r="F368" s="38" t="s">
        <v>1512</v>
      </c>
      <c r="G368" s="39" t="s">
        <v>1513</v>
      </c>
      <c r="H368" s="103"/>
      <c r="I368" s="43"/>
    </row>
    <row r="369" spans="1:9" ht="25" x14ac:dyDescent="0.25">
      <c r="A369" s="121" t="s">
        <v>1514</v>
      </c>
      <c r="B369" s="168"/>
      <c r="C369" s="170"/>
      <c r="D369" s="39"/>
      <c r="E369" s="39"/>
      <c r="F369" s="38" t="s">
        <v>1515</v>
      </c>
      <c r="G369" s="39" t="s">
        <v>1516</v>
      </c>
      <c r="H369" s="103"/>
      <c r="I369" s="43"/>
    </row>
    <row r="370" spans="1:9" ht="13" x14ac:dyDescent="0.25">
      <c r="A370" s="122" t="s">
        <v>1517</v>
      </c>
      <c r="B370" s="168"/>
      <c r="C370" s="170"/>
      <c r="D370" s="39"/>
      <c r="E370" s="39"/>
      <c r="F370" s="38" t="s">
        <v>1518</v>
      </c>
      <c r="G370" s="39" t="s">
        <v>1519</v>
      </c>
      <c r="H370" s="103"/>
      <c r="I370" s="43"/>
    </row>
    <row r="371" spans="1:9" ht="13" x14ac:dyDescent="0.25">
      <c r="A371" s="121" t="s">
        <v>1520</v>
      </c>
      <c r="B371" s="168"/>
      <c r="C371" s="170"/>
      <c r="D371" s="39"/>
      <c r="E371" s="39"/>
      <c r="F371" s="38" t="s">
        <v>1497</v>
      </c>
      <c r="G371" s="39"/>
      <c r="H371" s="103"/>
      <c r="I371" s="43"/>
    </row>
    <row r="372" spans="1:9" ht="13" x14ac:dyDescent="0.25">
      <c r="A372" s="122" t="s">
        <v>1521</v>
      </c>
      <c r="B372" s="168"/>
      <c r="C372" s="170"/>
      <c r="D372" s="39"/>
      <c r="E372" s="39"/>
      <c r="F372" s="38" t="s">
        <v>1522</v>
      </c>
      <c r="G372" s="39"/>
      <c r="H372" s="103"/>
      <c r="I372" s="43"/>
    </row>
    <row r="373" spans="1:9" ht="13" x14ac:dyDescent="0.25">
      <c r="A373" s="121" t="s">
        <v>1523</v>
      </c>
      <c r="B373" s="168"/>
      <c r="C373" s="170"/>
      <c r="D373" s="39"/>
      <c r="E373" s="39"/>
      <c r="F373" s="38" t="s">
        <v>1524</v>
      </c>
      <c r="G373" s="39" t="s">
        <v>1525</v>
      </c>
      <c r="H373" s="103"/>
      <c r="I373" s="43"/>
    </row>
    <row r="374" spans="1:9" ht="13" x14ac:dyDescent="0.25">
      <c r="A374" s="122" t="s">
        <v>1526</v>
      </c>
      <c r="B374" s="168"/>
      <c r="C374" s="170"/>
      <c r="D374" s="39"/>
      <c r="E374" s="39"/>
      <c r="F374" s="38" t="s">
        <v>1527</v>
      </c>
      <c r="G374" s="39"/>
      <c r="H374" s="103"/>
      <c r="I374" s="43"/>
    </row>
    <row r="375" spans="1:9" ht="13" x14ac:dyDescent="0.25">
      <c r="A375" s="121" t="s">
        <v>1528</v>
      </c>
      <c r="B375" s="168"/>
      <c r="C375" s="170"/>
      <c r="D375" s="39"/>
      <c r="E375" s="39"/>
      <c r="F375" s="38" t="s">
        <v>1529</v>
      </c>
      <c r="G375" s="39"/>
      <c r="H375" s="103"/>
      <c r="I375" s="43"/>
    </row>
    <row r="376" spans="1:9" ht="13" x14ac:dyDescent="0.25">
      <c r="A376" s="122" t="s">
        <v>1530</v>
      </c>
      <c r="B376" s="168"/>
      <c r="C376" s="170"/>
      <c r="D376" s="39"/>
      <c r="E376" s="39"/>
      <c r="F376" s="38" t="s">
        <v>1531</v>
      </c>
      <c r="G376" s="39"/>
      <c r="H376" s="103"/>
      <c r="I376" s="43"/>
    </row>
    <row r="377" spans="1:9" ht="13" x14ac:dyDescent="0.25">
      <c r="A377" s="121" t="s">
        <v>1532</v>
      </c>
      <c r="B377" s="173"/>
      <c r="C377" s="171"/>
      <c r="D377" s="39"/>
      <c r="E377" s="39"/>
      <c r="F377" s="38" t="s">
        <v>1505</v>
      </c>
      <c r="G377" s="39"/>
      <c r="H377" s="103"/>
      <c r="I377" s="43"/>
    </row>
    <row r="378" spans="1:9" ht="37.5" x14ac:dyDescent="0.25">
      <c r="A378" s="122" t="s">
        <v>1537</v>
      </c>
      <c r="B378" s="167" t="s">
        <v>1533</v>
      </c>
      <c r="C378" s="169" t="s">
        <v>1534</v>
      </c>
      <c r="D378" s="39" t="s">
        <v>1536</v>
      </c>
      <c r="E378" s="39"/>
      <c r="F378" s="38" t="s">
        <v>1538</v>
      </c>
      <c r="G378" s="39"/>
      <c r="H378" s="103"/>
      <c r="I378" s="43"/>
    </row>
    <row r="379" spans="1:9" ht="13" x14ac:dyDescent="0.25">
      <c r="A379" s="121" t="s">
        <v>1539</v>
      </c>
      <c r="B379" s="168"/>
      <c r="C379" s="170"/>
      <c r="D379" s="39"/>
      <c r="E379" s="39"/>
      <c r="F379" s="38" t="s">
        <v>1480</v>
      </c>
      <c r="G379" s="39"/>
      <c r="H379" s="103"/>
      <c r="I379" s="43"/>
    </row>
    <row r="380" spans="1:9" ht="13" x14ac:dyDescent="0.25">
      <c r="A380" s="122" t="s">
        <v>1540</v>
      </c>
      <c r="B380" s="168"/>
      <c r="C380" s="170"/>
      <c r="D380" s="39"/>
      <c r="E380" s="39"/>
      <c r="F380" s="38" t="s">
        <v>1541</v>
      </c>
      <c r="G380" s="39"/>
      <c r="H380" s="103"/>
      <c r="I380" s="43"/>
    </row>
    <row r="381" spans="1:9" ht="13" x14ac:dyDescent="0.25">
      <c r="A381" s="121" t="s">
        <v>1542</v>
      </c>
      <c r="B381" s="168"/>
      <c r="C381" s="170"/>
      <c r="D381" s="39"/>
      <c r="E381" s="39"/>
      <c r="F381" s="38" t="s">
        <v>1543</v>
      </c>
      <c r="G381" s="39"/>
      <c r="H381" s="103"/>
      <c r="I381" s="43"/>
    </row>
    <row r="382" spans="1:9" ht="13" x14ac:dyDescent="0.25">
      <c r="A382" s="122" t="s">
        <v>1544</v>
      </c>
      <c r="B382" s="168"/>
      <c r="C382" s="170"/>
      <c r="D382" s="39"/>
      <c r="E382" s="39"/>
      <c r="F382" s="38" t="s">
        <v>1373</v>
      </c>
      <c r="G382" s="39"/>
      <c r="H382" s="103"/>
      <c r="I382" s="43"/>
    </row>
    <row r="383" spans="1:9" ht="13" x14ac:dyDescent="0.25">
      <c r="A383" s="121" t="s">
        <v>1545</v>
      </c>
      <c r="B383" s="168"/>
      <c r="C383" s="170"/>
      <c r="D383" s="39"/>
      <c r="E383" s="39"/>
      <c r="F383" s="38" t="s">
        <v>1546</v>
      </c>
      <c r="G383" s="39"/>
      <c r="H383" s="103"/>
      <c r="I383" s="43"/>
    </row>
    <row r="384" spans="1:9" ht="13" x14ac:dyDescent="0.25">
      <c r="A384" s="122" t="s">
        <v>1549</v>
      </c>
      <c r="B384" s="168"/>
      <c r="C384" s="170"/>
      <c r="D384" s="39" t="s">
        <v>1548</v>
      </c>
      <c r="E384" s="39"/>
      <c r="F384" s="38" t="s">
        <v>1550</v>
      </c>
      <c r="G384" s="39"/>
      <c r="H384" s="103"/>
      <c r="I384" s="43"/>
    </row>
    <row r="385" spans="1:9" ht="25.5" x14ac:dyDescent="0.3">
      <c r="A385" s="121" t="s">
        <v>1551</v>
      </c>
      <c r="B385" s="168"/>
      <c r="C385" s="170"/>
      <c r="D385" s="39"/>
      <c r="E385" s="39"/>
      <c r="F385" s="127" t="s">
        <v>694</v>
      </c>
      <c r="G385" s="39" t="s">
        <v>692</v>
      </c>
      <c r="H385" s="103"/>
      <c r="I385" s="43"/>
    </row>
    <row r="386" spans="1:9" ht="13" x14ac:dyDescent="0.25">
      <c r="A386" s="122" t="s">
        <v>1554</v>
      </c>
      <c r="B386" s="168"/>
      <c r="C386" s="170"/>
      <c r="D386" s="39" t="s">
        <v>1553</v>
      </c>
      <c r="E386" s="39"/>
      <c r="F386" s="38" t="s">
        <v>1555</v>
      </c>
      <c r="G386" s="39"/>
      <c r="H386" s="103"/>
      <c r="I386" s="43"/>
    </row>
    <row r="387" spans="1:9" ht="13" x14ac:dyDescent="0.25">
      <c r="A387" s="121" t="s">
        <v>1558</v>
      </c>
      <c r="B387" s="168"/>
      <c r="C387" s="170"/>
      <c r="D387" s="39" t="s">
        <v>1557</v>
      </c>
      <c r="E387" s="39"/>
      <c r="F387" s="38" t="s">
        <v>1559</v>
      </c>
      <c r="G387" s="39"/>
      <c r="H387" s="103"/>
      <c r="I387" s="43"/>
    </row>
    <row r="388" spans="1:9" ht="13" x14ac:dyDescent="0.25">
      <c r="A388" s="122" t="s">
        <v>1562</v>
      </c>
      <c r="B388" s="168"/>
      <c r="C388" s="170"/>
      <c r="D388" s="39" t="s">
        <v>1561</v>
      </c>
      <c r="E388" s="39"/>
      <c r="F388" s="38" t="s">
        <v>646</v>
      </c>
      <c r="G388" s="39"/>
      <c r="H388" s="103"/>
      <c r="I388" s="43"/>
    </row>
    <row r="389" spans="1:9" ht="13" x14ac:dyDescent="0.25">
      <c r="A389" s="121" t="s">
        <v>1563</v>
      </c>
      <c r="B389" s="168"/>
      <c r="C389" s="170"/>
      <c r="D389" s="39"/>
      <c r="E389" s="39"/>
      <c r="F389" s="38" t="s">
        <v>650</v>
      </c>
      <c r="G389" s="39"/>
      <c r="H389" s="103"/>
      <c r="I389" s="43"/>
    </row>
    <row r="390" spans="1:9" ht="13" x14ac:dyDescent="0.25">
      <c r="A390" s="122" t="s">
        <v>1564</v>
      </c>
      <c r="B390" s="168"/>
      <c r="C390" s="170"/>
      <c r="D390" s="39"/>
      <c r="E390" s="39"/>
      <c r="F390" s="38" t="s">
        <v>1497</v>
      </c>
      <c r="G390" s="39"/>
      <c r="H390" s="103"/>
      <c r="I390" s="43"/>
    </row>
    <row r="391" spans="1:9" ht="13" x14ac:dyDescent="0.25">
      <c r="A391" s="121" t="s">
        <v>1565</v>
      </c>
      <c r="B391" s="173"/>
      <c r="C391" s="171"/>
      <c r="D391" s="39"/>
      <c r="E391" s="39"/>
      <c r="F391" s="38" t="s">
        <v>1566</v>
      </c>
      <c r="G391" s="39"/>
      <c r="H391" s="103"/>
      <c r="I391" s="43"/>
    </row>
    <row r="392" spans="1:9" ht="37.5" x14ac:dyDescent="0.25">
      <c r="A392" s="122" t="s">
        <v>1571</v>
      </c>
      <c r="B392" s="167" t="s">
        <v>1567</v>
      </c>
      <c r="C392" s="169" t="s">
        <v>1568</v>
      </c>
      <c r="D392" s="39" t="s">
        <v>1570</v>
      </c>
      <c r="E392" s="166"/>
      <c r="F392" s="38" t="s">
        <v>1045</v>
      </c>
      <c r="G392" s="39" t="s">
        <v>1572</v>
      </c>
      <c r="H392" s="103"/>
      <c r="I392" s="43"/>
    </row>
    <row r="393" spans="1:9" ht="13" x14ac:dyDescent="0.25">
      <c r="A393" s="121" t="s">
        <v>1573</v>
      </c>
      <c r="B393" s="168"/>
      <c r="C393" s="170"/>
      <c r="D393" s="39"/>
      <c r="E393" s="166"/>
      <c r="F393" s="38" t="s">
        <v>1574</v>
      </c>
      <c r="G393" s="39"/>
      <c r="H393" s="103"/>
      <c r="I393" s="43"/>
    </row>
    <row r="394" spans="1:9" ht="13" x14ac:dyDescent="0.25">
      <c r="A394" s="122" t="s">
        <v>1575</v>
      </c>
      <c r="B394" s="168"/>
      <c r="C394" s="170"/>
      <c r="D394" s="39"/>
      <c r="E394" s="166"/>
      <c r="F394" s="38" t="s">
        <v>1376</v>
      </c>
      <c r="G394" s="39"/>
      <c r="H394" s="103"/>
      <c r="I394" s="43"/>
    </row>
    <row r="395" spans="1:9" ht="13" x14ac:dyDescent="0.25">
      <c r="A395" s="121" t="s">
        <v>1576</v>
      </c>
      <c r="B395" s="168"/>
      <c r="C395" s="170"/>
      <c r="D395" s="39"/>
      <c r="E395" s="166"/>
      <c r="F395" s="38" t="s">
        <v>1577</v>
      </c>
      <c r="G395" s="39" t="s">
        <v>1578</v>
      </c>
      <c r="H395" s="103"/>
      <c r="I395" s="43"/>
    </row>
    <row r="396" spans="1:9" ht="13" x14ac:dyDescent="0.25">
      <c r="A396" s="122" t="s">
        <v>1580</v>
      </c>
      <c r="B396" s="168"/>
      <c r="C396" s="170"/>
      <c r="D396" s="39" t="s">
        <v>1548</v>
      </c>
      <c r="E396" s="166"/>
      <c r="F396" s="38" t="s">
        <v>1550</v>
      </c>
      <c r="G396" s="39"/>
      <c r="H396" s="103"/>
      <c r="I396" s="43"/>
    </row>
    <row r="397" spans="1:9" ht="25.5" x14ac:dyDescent="0.3">
      <c r="A397" s="121" t="s">
        <v>1581</v>
      </c>
      <c r="B397" s="168"/>
      <c r="C397" s="170"/>
      <c r="D397" s="115"/>
      <c r="E397" s="166"/>
      <c r="F397" s="127" t="s">
        <v>694</v>
      </c>
      <c r="G397" s="39" t="s">
        <v>692</v>
      </c>
      <c r="H397" s="103"/>
      <c r="I397" s="43"/>
    </row>
    <row r="398" spans="1:9" ht="13" x14ac:dyDescent="0.25">
      <c r="A398" s="122" t="s">
        <v>1584</v>
      </c>
      <c r="B398" s="168"/>
      <c r="C398" s="170"/>
      <c r="D398" s="39" t="s">
        <v>1583</v>
      </c>
      <c r="E398" s="166"/>
      <c r="F398" s="38" t="s">
        <v>1555</v>
      </c>
      <c r="G398" s="39"/>
      <c r="H398" s="103"/>
      <c r="I398" s="43"/>
    </row>
    <row r="399" spans="1:9" ht="25.5" x14ac:dyDescent="0.3">
      <c r="A399" s="121" t="s">
        <v>1585</v>
      </c>
      <c r="B399" s="168"/>
      <c r="C399" s="170"/>
      <c r="D399" s="39"/>
      <c r="E399" s="166"/>
      <c r="F399" s="127" t="s">
        <v>694</v>
      </c>
      <c r="G399" s="39" t="s">
        <v>692</v>
      </c>
      <c r="H399" s="103"/>
      <c r="I399" s="43"/>
    </row>
    <row r="400" spans="1:9" ht="13" x14ac:dyDescent="0.25">
      <c r="A400" s="122" t="s">
        <v>1588</v>
      </c>
      <c r="B400" s="168"/>
      <c r="C400" s="170"/>
      <c r="D400" s="39" t="s">
        <v>1587</v>
      </c>
      <c r="E400" s="166"/>
      <c r="F400" s="38" t="s">
        <v>646</v>
      </c>
      <c r="G400" s="39" t="s">
        <v>1589</v>
      </c>
      <c r="H400" s="103"/>
      <c r="I400" s="43"/>
    </row>
    <row r="401" spans="1:9" ht="13" x14ac:dyDescent="0.25">
      <c r="A401" s="121" t="s">
        <v>1590</v>
      </c>
      <c r="B401" s="168"/>
      <c r="C401" s="170"/>
      <c r="D401" s="39"/>
      <c r="E401" s="166"/>
      <c r="F401" s="38" t="s">
        <v>650</v>
      </c>
      <c r="G401" s="39"/>
      <c r="H401" s="103"/>
      <c r="I401" s="43"/>
    </row>
    <row r="402" spans="1:9" ht="13" x14ac:dyDescent="0.25">
      <c r="A402" s="122" t="s">
        <v>1591</v>
      </c>
      <c r="B402" s="168"/>
      <c r="C402" s="170"/>
      <c r="D402" s="39"/>
      <c r="E402" s="166"/>
      <c r="F402" s="38" t="s">
        <v>1592</v>
      </c>
      <c r="G402" s="39"/>
      <c r="H402" s="103"/>
      <c r="I402" s="43"/>
    </row>
    <row r="403" spans="1:9" ht="13" x14ac:dyDescent="0.25">
      <c r="A403" s="121" t="s">
        <v>1593</v>
      </c>
      <c r="B403" s="168"/>
      <c r="C403" s="170"/>
      <c r="D403" s="39"/>
      <c r="E403" s="166"/>
      <c r="F403" s="38" t="s">
        <v>878</v>
      </c>
      <c r="G403" s="39"/>
      <c r="H403" s="103"/>
      <c r="I403" s="43"/>
    </row>
    <row r="404" spans="1:9" ht="13" x14ac:dyDescent="0.25">
      <c r="A404" s="122" t="s">
        <v>1594</v>
      </c>
      <c r="B404" s="168"/>
      <c r="C404" s="170"/>
      <c r="D404" s="39"/>
      <c r="E404" s="166"/>
      <c r="F404" s="38" t="s">
        <v>1566</v>
      </c>
      <c r="G404" s="39"/>
      <c r="H404" s="103"/>
      <c r="I404" s="43"/>
    </row>
    <row r="405" spans="1:9" ht="13" x14ac:dyDescent="0.25">
      <c r="A405" s="121" t="s">
        <v>1595</v>
      </c>
      <c r="B405" s="168"/>
      <c r="C405" s="170"/>
      <c r="D405" s="39"/>
      <c r="E405" s="166"/>
      <c r="F405" s="38" t="s">
        <v>1596</v>
      </c>
      <c r="G405" s="39" t="s">
        <v>1597</v>
      </c>
      <c r="H405" s="103"/>
      <c r="I405" s="43"/>
    </row>
    <row r="406" spans="1:9" ht="13" x14ac:dyDescent="0.25">
      <c r="A406" s="122" t="s">
        <v>1598</v>
      </c>
      <c r="B406" s="168"/>
      <c r="C406" s="170"/>
      <c r="D406" s="39"/>
      <c r="E406" s="166"/>
      <c r="F406" s="38" t="s">
        <v>1599</v>
      </c>
      <c r="G406" s="39" t="s">
        <v>1600</v>
      </c>
      <c r="H406" s="103"/>
      <c r="I406" s="43"/>
    </row>
    <row r="407" spans="1:9" ht="13" x14ac:dyDescent="0.25">
      <c r="A407" s="121" t="s">
        <v>1601</v>
      </c>
      <c r="B407" s="168"/>
      <c r="C407" s="170"/>
      <c r="D407" s="39"/>
      <c r="E407" s="166"/>
      <c r="F407" s="38" t="s">
        <v>1602</v>
      </c>
      <c r="G407" s="39"/>
      <c r="H407" s="103"/>
      <c r="I407" s="43"/>
    </row>
    <row r="408" spans="1:9" ht="13" x14ac:dyDescent="0.25">
      <c r="A408" s="122" t="s">
        <v>1603</v>
      </c>
      <c r="B408" s="168"/>
      <c r="C408" s="170"/>
      <c r="D408" s="39"/>
      <c r="E408" s="166"/>
      <c r="F408" s="38" t="s">
        <v>1604</v>
      </c>
      <c r="G408" s="39"/>
      <c r="H408" s="103"/>
      <c r="I408" s="43"/>
    </row>
    <row r="409" spans="1:9" ht="13" x14ac:dyDescent="0.25">
      <c r="A409" s="121" t="s">
        <v>1605</v>
      </c>
      <c r="B409" s="168"/>
      <c r="C409" s="170"/>
      <c r="D409" s="39"/>
      <c r="E409" s="166"/>
      <c r="F409" s="38" t="s">
        <v>1606</v>
      </c>
      <c r="G409" s="39" t="s">
        <v>1607</v>
      </c>
      <c r="H409" s="103"/>
      <c r="I409" s="43"/>
    </row>
    <row r="410" spans="1:9" ht="37.5" x14ac:dyDescent="0.25">
      <c r="A410" s="122" t="s">
        <v>1610</v>
      </c>
      <c r="B410" s="167" t="s">
        <v>1608</v>
      </c>
      <c r="C410" s="169" t="s">
        <v>1472</v>
      </c>
      <c r="D410" s="39" t="s">
        <v>1548</v>
      </c>
      <c r="E410" s="123"/>
      <c r="F410" s="38" t="s">
        <v>1550</v>
      </c>
      <c r="G410" s="39"/>
      <c r="H410" s="103"/>
      <c r="I410" s="43"/>
    </row>
    <row r="411" spans="1:9" ht="25.5" x14ac:dyDescent="0.3">
      <c r="A411" s="121" t="s">
        <v>1611</v>
      </c>
      <c r="B411" s="168"/>
      <c r="C411" s="170"/>
      <c r="D411" s="39"/>
      <c r="E411" s="123"/>
      <c r="F411" s="127" t="s">
        <v>694</v>
      </c>
      <c r="G411" s="39" t="s">
        <v>692</v>
      </c>
      <c r="H411" s="103"/>
      <c r="I411" s="43"/>
    </row>
    <row r="412" spans="1:9" ht="13" x14ac:dyDescent="0.25">
      <c r="A412" s="122" t="s">
        <v>1613</v>
      </c>
      <c r="B412" s="168"/>
      <c r="C412" s="170"/>
      <c r="D412" s="39" t="s">
        <v>1583</v>
      </c>
      <c r="E412" s="166"/>
      <c r="F412" s="38" t="s">
        <v>1555</v>
      </c>
      <c r="G412" s="39"/>
      <c r="H412" s="103"/>
      <c r="I412" s="43"/>
    </row>
    <row r="413" spans="1:9" ht="25.5" x14ac:dyDescent="0.3">
      <c r="A413" s="121" t="s">
        <v>1614</v>
      </c>
      <c r="B413" s="168"/>
      <c r="C413" s="170"/>
      <c r="D413" s="39"/>
      <c r="E413" s="166"/>
      <c r="F413" s="127" t="s">
        <v>694</v>
      </c>
      <c r="G413" s="39" t="s">
        <v>692</v>
      </c>
      <c r="H413" s="103"/>
      <c r="I413" s="43"/>
    </row>
    <row r="414" spans="1:9" ht="13" x14ac:dyDescent="0.25">
      <c r="A414" s="122" t="s">
        <v>1617</v>
      </c>
      <c r="B414" s="168"/>
      <c r="C414" s="170"/>
      <c r="D414" s="39" t="s">
        <v>1616</v>
      </c>
      <c r="E414" s="166"/>
      <c r="F414" s="38" t="s">
        <v>1618</v>
      </c>
      <c r="G414" s="39"/>
      <c r="H414" s="103"/>
      <c r="I414" s="43"/>
    </row>
    <row r="415" spans="1:9" ht="13" x14ac:dyDescent="0.25">
      <c r="A415" s="121" t="s">
        <v>1619</v>
      </c>
      <c r="B415" s="168"/>
      <c r="C415" s="170"/>
      <c r="D415" s="39"/>
      <c r="E415" s="166"/>
      <c r="F415" s="38" t="s">
        <v>1620</v>
      </c>
      <c r="G415" s="39"/>
      <c r="H415" s="103"/>
      <c r="I415" s="43"/>
    </row>
    <row r="416" spans="1:9" ht="13" x14ac:dyDescent="0.25">
      <c r="A416" s="122" t="s">
        <v>1621</v>
      </c>
      <c r="B416" s="168"/>
      <c r="C416" s="170"/>
      <c r="D416" s="39"/>
      <c r="E416" s="166"/>
      <c r="F416" s="38" t="s">
        <v>1622</v>
      </c>
      <c r="G416" s="39"/>
      <c r="H416" s="103"/>
      <c r="I416" s="43"/>
    </row>
    <row r="417" spans="1:9" ht="13" x14ac:dyDescent="0.25">
      <c r="A417" s="121" t="s">
        <v>1623</v>
      </c>
      <c r="B417" s="168"/>
      <c r="C417" s="170"/>
      <c r="D417" s="39"/>
      <c r="E417" s="166"/>
      <c r="F417" s="38" t="s">
        <v>1624</v>
      </c>
      <c r="G417" s="39"/>
      <c r="H417" s="103"/>
      <c r="I417" s="43"/>
    </row>
    <row r="418" spans="1:9" ht="13" x14ac:dyDescent="0.25">
      <c r="A418" s="122" t="s">
        <v>1626</v>
      </c>
      <c r="B418" s="168"/>
      <c r="C418" s="170"/>
      <c r="D418" s="39" t="s">
        <v>1561</v>
      </c>
      <c r="E418" s="166"/>
      <c r="F418" s="38" t="s">
        <v>1627</v>
      </c>
      <c r="G418" s="39"/>
      <c r="H418" s="103"/>
      <c r="I418" s="43"/>
    </row>
    <row r="419" spans="1:9" ht="13" x14ac:dyDescent="0.25">
      <c r="A419" s="121" t="s">
        <v>1628</v>
      </c>
      <c r="B419" s="168"/>
      <c r="C419" s="170"/>
      <c r="D419" s="39"/>
      <c r="E419" s="166"/>
      <c r="F419" s="38" t="s">
        <v>1495</v>
      </c>
      <c r="G419" s="39"/>
      <c r="H419" s="103"/>
      <c r="I419" s="43"/>
    </row>
    <row r="420" spans="1:9" ht="13" x14ac:dyDescent="0.25">
      <c r="A420" s="122" t="s">
        <v>1629</v>
      </c>
      <c r="B420" s="168"/>
      <c r="C420" s="170"/>
      <c r="D420" s="39"/>
      <c r="E420" s="166"/>
      <c r="F420" s="38" t="s">
        <v>1497</v>
      </c>
      <c r="G420" s="39"/>
      <c r="H420" s="103"/>
      <c r="I420" s="43"/>
    </row>
    <row r="421" spans="1:9" ht="13" x14ac:dyDescent="0.25">
      <c r="A421" s="121" t="s">
        <v>1630</v>
      </c>
      <c r="B421" s="168"/>
      <c r="C421" s="170"/>
      <c r="D421" s="39"/>
      <c r="E421" s="166"/>
      <c r="F421" s="38" t="s">
        <v>1631</v>
      </c>
      <c r="G421" s="39"/>
      <c r="H421" s="103"/>
      <c r="I421" s="43"/>
    </row>
    <row r="422" spans="1:9" ht="13" x14ac:dyDescent="0.25">
      <c r="A422" s="122" t="s">
        <v>1632</v>
      </c>
      <c r="B422" s="168"/>
      <c r="C422" s="170"/>
      <c r="D422" s="39"/>
      <c r="E422" s="166"/>
      <c r="F422" s="38" t="s">
        <v>1633</v>
      </c>
      <c r="G422" s="39"/>
      <c r="H422" s="103"/>
      <c r="I422" s="43"/>
    </row>
    <row r="423" spans="1:9" ht="13" x14ac:dyDescent="0.25">
      <c r="A423" s="121" t="s">
        <v>1634</v>
      </c>
      <c r="B423" s="173"/>
      <c r="C423" s="171"/>
      <c r="D423" s="39"/>
      <c r="E423" s="166"/>
      <c r="F423" s="38" t="s">
        <v>1522</v>
      </c>
      <c r="G423" s="39"/>
      <c r="H423" s="103"/>
      <c r="I423" s="43"/>
    </row>
    <row r="424" spans="1:9" ht="37.5" x14ac:dyDescent="0.25">
      <c r="A424" s="122" t="s">
        <v>1637</v>
      </c>
      <c r="B424" s="167" t="s">
        <v>1635</v>
      </c>
      <c r="C424" s="169" t="s">
        <v>1472</v>
      </c>
      <c r="D424" s="39" t="s">
        <v>1548</v>
      </c>
      <c r="E424" s="166"/>
      <c r="F424" s="38" t="s">
        <v>1550</v>
      </c>
      <c r="G424" s="39"/>
      <c r="H424" s="103"/>
      <c r="I424" s="43"/>
    </row>
    <row r="425" spans="1:9" ht="25.5" x14ac:dyDescent="0.3">
      <c r="A425" s="121" t="s">
        <v>1638</v>
      </c>
      <c r="B425" s="168"/>
      <c r="C425" s="170"/>
      <c r="D425" s="39"/>
      <c r="E425" s="166"/>
      <c r="F425" s="127" t="s">
        <v>694</v>
      </c>
      <c r="G425" s="39" t="s">
        <v>692</v>
      </c>
      <c r="H425" s="103"/>
      <c r="I425" s="43"/>
    </row>
    <row r="426" spans="1:9" ht="13" x14ac:dyDescent="0.25">
      <c r="A426" s="122" t="s">
        <v>1640</v>
      </c>
      <c r="B426" s="168"/>
      <c r="C426" s="170"/>
      <c r="D426" s="39" t="s">
        <v>1583</v>
      </c>
      <c r="E426" s="166"/>
      <c r="F426" s="38" t="s">
        <v>1555</v>
      </c>
      <c r="G426" s="39"/>
      <c r="H426" s="103"/>
      <c r="I426" s="43"/>
    </row>
    <row r="427" spans="1:9" ht="25.5" x14ac:dyDescent="0.3">
      <c r="A427" s="121" t="s">
        <v>1641</v>
      </c>
      <c r="B427" s="168"/>
      <c r="C427" s="170"/>
      <c r="D427" s="39"/>
      <c r="E427" s="166"/>
      <c r="F427" s="127" t="s">
        <v>694</v>
      </c>
      <c r="G427" s="39" t="s">
        <v>692</v>
      </c>
      <c r="H427" s="103"/>
      <c r="I427" s="43"/>
    </row>
    <row r="428" spans="1:9" ht="13" x14ac:dyDescent="0.25">
      <c r="A428" s="122" t="s">
        <v>1644</v>
      </c>
      <c r="B428" s="168"/>
      <c r="C428" s="170"/>
      <c r="D428" s="39" t="s">
        <v>1643</v>
      </c>
      <c r="E428" s="166"/>
      <c r="F428" s="38" t="s">
        <v>1645</v>
      </c>
      <c r="G428" s="39"/>
      <c r="H428" s="103"/>
      <c r="I428" s="43"/>
    </row>
    <row r="429" spans="1:9" ht="13" x14ac:dyDescent="0.25">
      <c r="A429" s="121" t="s">
        <v>1646</v>
      </c>
      <c r="B429" s="168"/>
      <c r="C429" s="170"/>
      <c r="D429" s="39"/>
      <c r="E429" s="166"/>
      <c r="F429" s="38" t="s">
        <v>1647</v>
      </c>
      <c r="G429" s="39"/>
      <c r="H429" s="103"/>
      <c r="I429" s="43"/>
    </row>
    <row r="430" spans="1:9" ht="13" x14ac:dyDescent="0.25">
      <c r="A430" s="122" t="s">
        <v>1648</v>
      </c>
      <c r="B430" s="168"/>
      <c r="C430" s="170"/>
      <c r="D430" s="39"/>
      <c r="E430" s="166"/>
      <c r="F430" s="38" t="s">
        <v>1622</v>
      </c>
      <c r="G430" s="39"/>
      <c r="H430" s="103"/>
      <c r="I430" s="43"/>
    </row>
    <row r="431" spans="1:9" ht="13" x14ac:dyDescent="0.25">
      <c r="A431" s="121" t="s">
        <v>1649</v>
      </c>
      <c r="B431" s="168"/>
      <c r="C431" s="170"/>
      <c r="D431" s="39"/>
      <c r="E431" s="166"/>
      <c r="F431" s="38" t="s">
        <v>1624</v>
      </c>
      <c r="G431" s="39"/>
      <c r="H431" s="103"/>
      <c r="I431" s="43"/>
    </row>
    <row r="432" spans="1:9" ht="13" x14ac:dyDescent="0.25">
      <c r="A432" s="122" t="s">
        <v>1651</v>
      </c>
      <c r="B432" s="168"/>
      <c r="C432" s="170"/>
      <c r="D432" s="39" t="s">
        <v>1561</v>
      </c>
      <c r="E432" s="166"/>
      <c r="F432" s="38" t="s">
        <v>1627</v>
      </c>
      <c r="G432" s="39"/>
      <c r="H432" s="103"/>
      <c r="I432" s="43"/>
    </row>
    <row r="433" spans="1:9" ht="13" x14ac:dyDescent="0.25">
      <c r="A433" s="121" t="s">
        <v>1652</v>
      </c>
      <c r="B433" s="168"/>
      <c r="C433" s="170"/>
      <c r="D433" s="39"/>
      <c r="E433" s="166"/>
      <c r="F433" s="38" t="s">
        <v>1495</v>
      </c>
      <c r="G433" s="39"/>
      <c r="H433" s="103"/>
      <c r="I433" s="43"/>
    </row>
    <row r="434" spans="1:9" ht="13" x14ac:dyDescent="0.25">
      <c r="A434" s="122" t="s">
        <v>1653</v>
      </c>
      <c r="B434" s="168"/>
      <c r="C434" s="170"/>
      <c r="D434" s="39"/>
      <c r="E434" s="166"/>
      <c r="F434" s="38" t="s">
        <v>1497</v>
      </c>
      <c r="G434" s="39"/>
      <c r="H434" s="103"/>
      <c r="I434" s="43"/>
    </row>
    <row r="435" spans="1:9" ht="13" x14ac:dyDescent="0.25">
      <c r="A435" s="121" t="s">
        <v>1654</v>
      </c>
      <c r="B435" s="168"/>
      <c r="C435" s="170"/>
      <c r="D435" s="39"/>
      <c r="E435" s="166"/>
      <c r="F435" s="38" t="s">
        <v>1631</v>
      </c>
      <c r="G435" s="39"/>
      <c r="H435" s="103"/>
      <c r="I435" s="43"/>
    </row>
    <row r="436" spans="1:9" ht="13" x14ac:dyDescent="0.25">
      <c r="A436" s="122" t="s">
        <v>1655</v>
      </c>
      <c r="B436" s="168"/>
      <c r="C436" s="170"/>
      <c r="D436" s="39"/>
      <c r="E436" s="166"/>
      <c r="F436" s="38" t="s">
        <v>1633</v>
      </c>
      <c r="G436" s="39"/>
      <c r="H436" s="103"/>
      <c r="I436" s="43"/>
    </row>
    <row r="437" spans="1:9" ht="13" x14ac:dyDescent="0.25">
      <c r="A437" s="121" t="s">
        <v>1656</v>
      </c>
      <c r="B437" s="173"/>
      <c r="C437" s="171"/>
      <c r="D437" s="39"/>
      <c r="E437" s="166"/>
      <c r="F437" s="38" t="s">
        <v>1522</v>
      </c>
      <c r="G437" s="39"/>
      <c r="H437" s="103"/>
      <c r="I437" s="43"/>
    </row>
    <row r="438" spans="1:9" ht="13" x14ac:dyDescent="0.25">
      <c r="A438" s="122" t="s">
        <v>1660</v>
      </c>
      <c r="B438" s="167" t="s">
        <v>1657</v>
      </c>
      <c r="C438" s="248" t="s">
        <v>1658</v>
      </c>
      <c r="D438" s="39" t="s">
        <v>1548</v>
      </c>
      <c r="E438" s="166"/>
      <c r="F438" s="38" t="s">
        <v>1550</v>
      </c>
      <c r="G438" s="39"/>
      <c r="H438" s="103"/>
      <c r="I438" s="43"/>
    </row>
    <row r="439" spans="1:9" ht="25.5" x14ac:dyDescent="0.3">
      <c r="A439" s="121" t="s">
        <v>1661</v>
      </c>
      <c r="B439" s="168"/>
      <c r="C439" s="249"/>
      <c r="D439" s="39"/>
      <c r="E439" s="166"/>
      <c r="F439" s="127" t="s">
        <v>694</v>
      </c>
      <c r="G439" s="39" t="s">
        <v>692</v>
      </c>
      <c r="H439" s="103"/>
      <c r="I439" s="43"/>
    </row>
    <row r="440" spans="1:9" ht="13" x14ac:dyDescent="0.25">
      <c r="A440" s="122" t="s">
        <v>1663</v>
      </c>
      <c r="B440" s="168"/>
      <c r="C440" s="249"/>
      <c r="D440" s="39" t="s">
        <v>1583</v>
      </c>
      <c r="E440" s="166"/>
      <c r="F440" s="38" t="s">
        <v>1555</v>
      </c>
      <c r="G440" s="39"/>
      <c r="H440" s="103"/>
      <c r="I440" s="43"/>
    </row>
    <row r="441" spans="1:9" ht="25.5" x14ac:dyDescent="0.3">
      <c r="A441" s="121" t="s">
        <v>1664</v>
      </c>
      <c r="B441" s="168"/>
      <c r="C441" s="170"/>
      <c r="D441" s="39"/>
      <c r="E441" s="166"/>
      <c r="F441" s="127" t="s">
        <v>694</v>
      </c>
      <c r="G441" s="39" t="s">
        <v>692</v>
      </c>
      <c r="H441" s="103"/>
      <c r="I441" s="43"/>
    </row>
    <row r="442" spans="1:9" ht="13" x14ac:dyDescent="0.25">
      <c r="A442" s="122" t="s">
        <v>1667</v>
      </c>
      <c r="B442" s="168"/>
      <c r="C442" s="170"/>
      <c r="D442" s="39" t="s">
        <v>1666</v>
      </c>
      <c r="E442" s="166"/>
      <c r="F442" s="38" t="s">
        <v>1668</v>
      </c>
      <c r="G442" s="39"/>
      <c r="H442" s="103"/>
      <c r="I442" s="43"/>
    </row>
    <row r="443" spans="1:9" ht="25.5" x14ac:dyDescent="0.3">
      <c r="A443" s="121" t="s">
        <v>1669</v>
      </c>
      <c r="B443" s="168"/>
      <c r="C443" s="170"/>
      <c r="D443" s="39"/>
      <c r="E443" s="166"/>
      <c r="F443" s="127" t="s">
        <v>694</v>
      </c>
      <c r="G443" s="39" t="s">
        <v>692</v>
      </c>
      <c r="H443" s="103"/>
      <c r="I443" s="43"/>
    </row>
    <row r="444" spans="1:9" ht="13" x14ac:dyDescent="0.25">
      <c r="A444" s="122" t="s">
        <v>1671</v>
      </c>
      <c r="B444" s="168"/>
      <c r="C444" s="170"/>
      <c r="D444" s="39" t="s">
        <v>1561</v>
      </c>
      <c r="E444" s="166"/>
      <c r="F444" s="38" t="s">
        <v>1522</v>
      </c>
      <c r="G444" s="39"/>
      <c r="H444" s="103"/>
      <c r="I444" s="43"/>
    </row>
    <row r="445" spans="1:9" ht="13" x14ac:dyDescent="0.25">
      <c r="A445" s="121" t="s">
        <v>1672</v>
      </c>
      <c r="B445" s="168"/>
      <c r="C445" s="170"/>
      <c r="D445" s="39"/>
      <c r="E445" s="166"/>
      <c r="F445" s="38" t="s">
        <v>1673</v>
      </c>
      <c r="G445" s="39"/>
      <c r="H445" s="103"/>
      <c r="I445" s="43"/>
    </row>
    <row r="446" spans="1:9" ht="13" x14ac:dyDescent="0.25">
      <c r="A446" s="122" t="s">
        <v>1676</v>
      </c>
      <c r="B446" s="173"/>
      <c r="C446" s="171"/>
      <c r="D446" s="39" t="s">
        <v>1675</v>
      </c>
      <c r="E446" s="166"/>
      <c r="F446" s="38" t="s">
        <v>1677</v>
      </c>
      <c r="G446" s="39"/>
      <c r="H446" s="103"/>
      <c r="I446" s="43"/>
    </row>
    <row r="447" spans="1:9" ht="25" x14ac:dyDescent="0.25">
      <c r="A447" s="121" t="s">
        <v>1681</v>
      </c>
      <c r="B447" s="168" t="s">
        <v>1678</v>
      </c>
      <c r="C447" s="170" t="s">
        <v>1679</v>
      </c>
      <c r="D447" s="39" t="s">
        <v>1570</v>
      </c>
      <c r="E447" s="166"/>
      <c r="F447" s="38" t="s">
        <v>1045</v>
      </c>
      <c r="G447" s="39" t="s">
        <v>1572</v>
      </c>
      <c r="H447" s="106"/>
      <c r="I447" s="60"/>
    </row>
    <row r="448" spans="1:9" ht="13" x14ac:dyDescent="0.25">
      <c r="A448" s="122" t="s">
        <v>1682</v>
      </c>
      <c r="B448" s="168"/>
      <c r="C448" s="170"/>
      <c r="D448" s="39"/>
      <c r="E448" s="166"/>
      <c r="F448" s="38" t="s">
        <v>1683</v>
      </c>
      <c r="G448" s="39" t="s">
        <v>1684</v>
      </c>
      <c r="H448" s="106"/>
      <c r="I448" s="60"/>
    </row>
    <row r="449" spans="1:9" ht="13" x14ac:dyDescent="0.25">
      <c r="A449" s="121" t="s">
        <v>1685</v>
      </c>
      <c r="B449" s="168"/>
      <c r="C449" s="170"/>
      <c r="D449" s="39"/>
      <c r="E449" s="166"/>
      <c r="F449" s="38" t="s">
        <v>1686</v>
      </c>
      <c r="G449" s="39" t="s">
        <v>1687</v>
      </c>
      <c r="H449" s="106"/>
      <c r="I449" s="60"/>
    </row>
    <row r="450" spans="1:9" ht="13" x14ac:dyDescent="0.25">
      <c r="A450" s="122" t="s">
        <v>1688</v>
      </c>
      <c r="B450" s="168"/>
      <c r="C450" s="170"/>
      <c r="D450" s="39"/>
      <c r="E450" s="166"/>
      <c r="F450" s="38" t="s">
        <v>1689</v>
      </c>
      <c r="G450" s="39" t="s">
        <v>1690</v>
      </c>
      <c r="H450" s="106"/>
      <c r="I450" s="60"/>
    </row>
    <row r="451" spans="1:9" ht="25.5" x14ac:dyDescent="0.3">
      <c r="A451" s="121" t="s">
        <v>1692</v>
      </c>
      <c r="B451" s="168"/>
      <c r="C451" s="170"/>
      <c r="D451" s="39" t="s">
        <v>733</v>
      </c>
      <c r="E451" s="166"/>
      <c r="F451" s="127" t="s">
        <v>694</v>
      </c>
      <c r="G451" s="39" t="s">
        <v>692</v>
      </c>
      <c r="H451" s="106"/>
      <c r="I451" s="60"/>
    </row>
    <row r="452" spans="1:9" ht="25.5" x14ac:dyDescent="0.3">
      <c r="A452" s="122" t="s">
        <v>1694</v>
      </c>
      <c r="B452" s="168"/>
      <c r="C452" s="170"/>
      <c r="D452" s="39" t="s">
        <v>932</v>
      </c>
      <c r="E452" s="166"/>
      <c r="F452" s="127" t="s">
        <v>694</v>
      </c>
      <c r="G452" s="39" t="s">
        <v>692</v>
      </c>
      <c r="H452" s="106"/>
      <c r="I452" s="60"/>
    </row>
    <row r="453" spans="1:9" ht="13" x14ac:dyDescent="0.25">
      <c r="A453" s="121" t="s">
        <v>1696</v>
      </c>
      <c r="B453" s="168"/>
      <c r="C453" s="170"/>
      <c r="D453" s="39" t="s">
        <v>1587</v>
      </c>
      <c r="E453" s="166"/>
      <c r="F453" s="38" t="s">
        <v>644</v>
      </c>
      <c r="G453" s="39" t="s">
        <v>1589</v>
      </c>
      <c r="H453" s="106"/>
      <c r="I453" s="60"/>
    </row>
    <row r="454" spans="1:9" ht="13" x14ac:dyDescent="0.25">
      <c r="A454" s="122" t="s">
        <v>1697</v>
      </c>
      <c r="B454" s="168"/>
      <c r="C454" s="170"/>
      <c r="D454" s="39"/>
      <c r="E454" s="166"/>
      <c r="F454" s="38" t="s">
        <v>646</v>
      </c>
      <c r="G454" s="39"/>
      <c r="H454" s="106"/>
      <c r="I454" s="60"/>
    </row>
    <row r="455" spans="1:9" ht="13" x14ac:dyDescent="0.25">
      <c r="A455" s="121" t="s">
        <v>1698</v>
      </c>
      <c r="B455" s="168"/>
      <c r="C455" s="170"/>
      <c r="D455" s="39"/>
      <c r="E455" s="166"/>
      <c r="F455" s="38" t="s">
        <v>650</v>
      </c>
      <c r="G455" s="39" t="s">
        <v>1699</v>
      </c>
      <c r="H455" s="106"/>
      <c r="I455" s="60"/>
    </row>
    <row r="456" spans="1:9" ht="13" x14ac:dyDescent="0.25">
      <c r="A456" s="122" t="s">
        <v>1700</v>
      </c>
      <c r="B456" s="168"/>
      <c r="C456" s="170"/>
      <c r="D456" s="39"/>
      <c r="E456" s="166"/>
      <c r="F456" s="38" t="s">
        <v>1238</v>
      </c>
      <c r="G456" s="39" t="s">
        <v>1701</v>
      </c>
      <c r="H456" s="106"/>
      <c r="I456" s="60"/>
    </row>
    <row r="457" spans="1:9" ht="13" x14ac:dyDescent="0.25">
      <c r="A457" s="121" t="s">
        <v>1702</v>
      </c>
      <c r="B457" s="173"/>
      <c r="C457" s="171"/>
      <c r="D457" s="39"/>
      <c r="E457" s="166"/>
      <c r="F457" s="38" t="s">
        <v>1703</v>
      </c>
      <c r="G457" s="39" t="s">
        <v>1704</v>
      </c>
      <c r="H457" s="106"/>
      <c r="I457" s="60"/>
    </row>
    <row r="458" spans="1:9" ht="13" x14ac:dyDescent="0.25">
      <c r="A458" s="122" t="s">
        <v>1709</v>
      </c>
      <c r="B458" s="168" t="s">
        <v>1705</v>
      </c>
      <c r="C458" s="248" t="s">
        <v>1706</v>
      </c>
      <c r="D458" s="39" t="s">
        <v>1708</v>
      </c>
      <c r="E458" s="166"/>
      <c r="F458" s="38" t="s">
        <v>1710</v>
      </c>
      <c r="G458" s="39"/>
      <c r="H458" s="106"/>
      <c r="I458" s="60"/>
    </row>
    <row r="459" spans="1:9" ht="13" x14ac:dyDescent="0.25">
      <c r="A459" s="121" t="s">
        <v>1711</v>
      </c>
      <c r="B459" s="168"/>
      <c r="C459" s="249"/>
      <c r="D459" s="39"/>
      <c r="E459" s="166"/>
      <c r="F459" s="38" t="s">
        <v>1712</v>
      </c>
      <c r="G459" s="39"/>
      <c r="H459" s="106"/>
      <c r="I459" s="60"/>
    </row>
    <row r="460" spans="1:9" ht="13" x14ac:dyDescent="0.25">
      <c r="A460" s="122" t="s">
        <v>1713</v>
      </c>
      <c r="B460" s="168"/>
      <c r="C460" s="249"/>
      <c r="D460" s="39"/>
      <c r="E460" s="166"/>
      <c r="F460" s="38" t="s">
        <v>1714</v>
      </c>
      <c r="G460" s="39"/>
      <c r="H460" s="106"/>
      <c r="I460" s="60"/>
    </row>
    <row r="461" spans="1:9" ht="13" x14ac:dyDescent="0.25">
      <c r="A461" s="121" t="s">
        <v>1715</v>
      </c>
      <c r="B461" s="168"/>
      <c r="C461" s="170"/>
      <c r="D461" s="39"/>
      <c r="E461" s="166"/>
      <c r="F461" s="38" t="s">
        <v>1716</v>
      </c>
      <c r="G461" s="39"/>
      <c r="H461" s="106"/>
      <c r="I461" s="60"/>
    </row>
    <row r="462" spans="1:9" ht="13" x14ac:dyDescent="0.25">
      <c r="A462" s="122" t="s">
        <v>1717</v>
      </c>
      <c r="B462" s="168"/>
      <c r="C462" s="170"/>
      <c r="D462" s="39"/>
      <c r="E462" s="166"/>
      <c r="F462" s="38" t="s">
        <v>1718</v>
      </c>
      <c r="G462" s="39"/>
      <c r="H462" s="106"/>
      <c r="I462" s="60"/>
    </row>
    <row r="463" spans="1:9" ht="13" x14ac:dyDescent="0.25">
      <c r="A463" s="121" t="s">
        <v>1719</v>
      </c>
      <c r="B463" s="168"/>
      <c r="C463" s="170"/>
      <c r="D463" s="39"/>
      <c r="E463" s="166"/>
      <c r="F463" s="38" t="s">
        <v>1577</v>
      </c>
      <c r="G463" s="39"/>
      <c r="H463" s="106"/>
      <c r="I463" s="60"/>
    </row>
    <row r="464" spans="1:9" ht="13" x14ac:dyDescent="0.25">
      <c r="A464" s="122" t="s">
        <v>1720</v>
      </c>
      <c r="B464" s="168"/>
      <c r="C464" s="170"/>
      <c r="D464" s="39"/>
      <c r="E464" s="166"/>
      <c r="F464" s="38" t="s">
        <v>1555</v>
      </c>
      <c r="G464" s="39"/>
      <c r="H464" s="106"/>
      <c r="I464" s="60"/>
    </row>
    <row r="465" spans="1:9" ht="13" x14ac:dyDescent="0.25">
      <c r="A465" s="121" t="s">
        <v>1721</v>
      </c>
      <c r="B465" s="168"/>
      <c r="C465" s="170"/>
      <c r="D465" s="39"/>
      <c r="E465" s="166"/>
      <c r="F465" s="38" t="s">
        <v>1722</v>
      </c>
      <c r="G465" s="39"/>
      <c r="H465" s="106"/>
      <c r="I465" s="60"/>
    </row>
    <row r="466" spans="1:9" ht="13" x14ac:dyDescent="0.25">
      <c r="A466" s="122" t="s">
        <v>1723</v>
      </c>
      <c r="B466" s="168"/>
      <c r="C466" s="170"/>
      <c r="D466" s="39"/>
      <c r="E466" s="166"/>
      <c r="F466" s="38" t="s">
        <v>1724</v>
      </c>
      <c r="G466" s="39"/>
      <c r="H466" s="106"/>
      <c r="I466" s="60"/>
    </row>
    <row r="467" spans="1:9" ht="13" x14ac:dyDescent="0.25">
      <c r="A467" s="121" t="s">
        <v>1725</v>
      </c>
      <c r="B467" s="168"/>
      <c r="C467" s="170"/>
      <c r="D467" s="39"/>
      <c r="E467" s="166"/>
      <c r="F467" s="38" t="s">
        <v>1726</v>
      </c>
      <c r="G467" s="39"/>
      <c r="H467" s="106"/>
      <c r="I467" s="60"/>
    </row>
    <row r="468" spans="1:9" ht="13" x14ac:dyDescent="0.25">
      <c r="A468" s="122" t="s">
        <v>1729</v>
      </c>
      <c r="B468" s="167" t="s">
        <v>49</v>
      </c>
      <c r="C468" s="169" t="s">
        <v>1727</v>
      </c>
      <c r="D468" s="39" t="s">
        <v>796</v>
      </c>
      <c r="E468" s="166"/>
      <c r="F468" s="38" t="s">
        <v>644</v>
      </c>
      <c r="G468" s="39"/>
      <c r="H468" s="103"/>
      <c r="I468" s="43"/>
    </row>
    <row r="469" spans="1:9" ht="13" x14ac:dyDescent="0.25">
      <c r="A469" s="121" t="s">
        <v>1730</v>
      </c>
      <c r="B469" s="168"/>
      <c r="C469" s="170"/>
      <c r="D469" s="39"/>
      <c r="E469" s="166"/>
      <c r="F469" s="38" t="s">
        <v>679</v>
      </c>
      <c r="G469" s="39"/>
      <c r="H469" s="103"/>
      <c r="I469" s="43"/>
    </row>
    <row r="470" spans="1:9" ht="13" x14ac:dyDescent="0.25">
      <c r="A470" s="122" t="s">
        <v>1732</v>
      </c>
      <c r="B470" s="168"/>
      <c r="C470" s="170"/>
      <c r="D470" s="39" t="s">
        <v>1330</v>
      </c>
      <c r="E470" s="166"/>
      <c r="F470" s="38" t="s">
        <v>1333</v>
      </c>
      <c r="G470" s="39"/>
      <c r="H470" s="103"/>
      <c r="I470" s="43"/>
    </row>
    <row r="471" spans="1:9" ht="13" x14ac:dyDescent="0.25">
      <c r="A471" s="121" t="s">
        <v>1733</v>
      </c>
      <c r="B471" s="168"/>
      <c r="C471" s="170"/>
      <c r="D471" s="39"/>
      <c r="E471" s="166"/>
      <c r="F471" s="38" t="s">
        <v>1336</v>
      </c>
      <c r="G471" s="39"/>
      <c r="H471" s="103"/>
      <c r="I471" s="43"/>
    </row>
    <row r="472" spans="1:9" ht="13" x14ac:dyDescent="0.25">
      <c r="A472" s="122" t="s">
        <v>1734</v>
      </c>
      <c r="B472" s="168"/>
      <c r="C472" s="170"/>
      <c r="D472" s="39"/>
      <c r="E472" s="166"/>
      <c r="F472" s="38" t="s">
        <v>1338</v>
      </c>
      <c r="G472" s="39"/>
      <c r="H472" s="103"/>
      <c r="I472" s="43"/>
    </row>
    <row r="473" spans="1:9" ht="13" x14ac:dyDescent="0.25">
      <c r="A473" s="121" t="s">
        <v>1735</v>
      </c>
      <c r="B473" s="168"/>
      <c r="C473" s="170"/>
      <c r="D473" s="39"/>
      <c r="E473" s="166"/>
      <c r="F473" s="38" t="s">
        <v>1340</v>
      </c>
      <c r="G473" s="39"/>
      <c r="H473" s="103"/>
      <c r="I473" s="43"/>
    </row>
    <row r="474" spans="1:9" ht="13" x14ac:dyDescent="0.25">
      <c r="A474" s="122" t="s">
        <v>1738</v>
      </c>
      <c r="B474" s="168"/>
      <c r="C474" s="170"/>
      <c r="D474" s="39" t="s">
        <v>1737</v>
      </c>
      <c r="E474" s="166"/>
      <c r="F474" s="38" t="s">
        <v>1739</v>
      </c>
      <c r="G474" s="39"/>
      <c r="H474" s="103"/>
      <c r="I474" s="43"/>
    </row>
    <row r="475" spans="1:9" ht="13" x14ac:dyDescent="0.25">
      <c r="A475" s="121" t="s">
        <v>1740</v>
      </c>
      <c r="B475" s="168"/>
      <c r="C475" s="170"/>
      <c r="D475" s="39"/>
      <c r="E475" s="166"/>
      <c r="F475" s="38" t="s">
        <v>1741</v>
      </c>
      <c r="G475" s="39"/>
      <c r="H475" s="103"/>
      <c r="I475" s="43"/>
    </row>
    <row r="476" spans="1:9" ht="25" x14ac:dyDescent="0.25">
      <c r="A476" s="122" t="s">
        <v>1746</v>
      </c>
      <c r="B476" s="167" t="s">
        <v>70</v>
      </c>
      <c r="C476" s="169" t="s">
        <v>1742</v>
      </c>
      <c r="D476" s="39" t="s">
        <v>1744</v>
      </c>
      <c r="E476" s="166" t="s">
        <v>1745</v>
      </c>
      <c r="F476" s="38" t="s">
        <v>644</v>
      </c>
      <c r="G476" s="39"/>
      <c r="H476" s="103"/>
      <c r="I476" s="43"/>
    </row>
    <row r="477" spans="1:9" ht="13" x14ac:dyDescent="0.25">
      <c r="A477" s="121" t="s">
        <v>1747</v>
      </c>
      <c r="B477" s="168"/>
      <c r="C477" s="170"/>
      <c r="D477" s="39"/>
      <c r="E477" s="166"/>
      <c r="F477" s="38" t="s">
        <v>650</v>
      </c>
      <c r="G477" s="39"/>
      <c r="H477" s="103"/>
      <c r="I477" s="43"/>
    </row>
    <row r="478" spans="1:9" ht="13" x14ac:dyDescent="0.25">
      <c r="A478" s="122" t="s">
        <v>1748</v>
      </c>
      <c r="B478" s="168"/>
      <c r="C478" s="170"/>
      <c r="D478" s="39"/>
      <c r="E478" s="166"/>
      <c r="F478" s="38" t="s">
        <v>1220</v>
      </c>
      <c r="G478" s="39"/>
      <c r="H478" s="103"/>
      <c r="I478" s="43"/>
    </row>
    <row r="479" spans="1:9" ht="13" x14ac:dyDescent="0.25">
      <c r="A479" s="121" t="s">
        <v>1749</v>
      </c>
      <c r="B479" s="168"/>
      <c r="C479" s="170"/>
      <c r="D479" s="39"/>
      <c r="E479" s="166"/>
      <c r="F479" s="38" t="s">
        <v>1750</v>
      </c>
      <c r="G479" s="39" t="s">
        <v>1751</v>
      </c>
      <c r="H479" s="103"/>
      <c r="I479" s="43"/>
    </row>
    <row r="480" spans="1:9" ht="13" x14ac:dyDescent="0.25">
      <c r="A480" s="122" t="s">
        <v>1752</v>
      </c>
      <c r="B480" s="168"/>
      <c r="C480" s="170"/>
      <c r="D480" s="39"/>
      <c r="E480" s="166"/>
      <c r="F480" s="38" t="s">
        <v>1753</v>
      </c>
      <c r="G480" s="39" t="s">
        <v>1754</v>
      </c>
      <c r="H480" s="103"/>
      <c r="I480" s="43"/>
    </row>
    <row r="481" spans="1:9" ht="25" x14ac:dyDescent="0.25">
      <c r="A481" s="121" t="s">
        <v>1755</v>
      </c>
      <c r="B481" s="168"/>
      <c r="C481" s="170"/>
      <c r="D481" s="39"/>
      <c r="E481" s="166"/>
      <c r="F481" s="38" t="s">
        <v>1756</v>
      </c>
      <c r="G481" s="39" t="s">
        <v>1757</v>
      </c>
      <c r="H481" s="103"/>
      <c r="I481" s="43"/>
    </row>
    <row r="482" spans="1:9" ht="25" x14ac:dyDescent="0.25">
      <c r="A482" s="122" t="s">
        <v>1758</v>
      </c>
      <c r="B482" s="168"/>
      <c r="C482" s="170"/>
      <c r="D482" s="39"/>
      <c r="E482" s="166"/>
      <c r="F482" s="38" t="s">
        <v>1759</v>
      </c>
      <c r="G482" s="39" t="s">
        <v>1760</v>
      </c>
      <c r="H482" s="103"/>
      <c r="I482" s="43"/>
    </row>
    <row r="483" spans="1:9" ht="37.5" x14ac:dyDescent="0.25">
      <c r="A483" s="121" t="s">
        <v>1761</v>
      </c>
      <c r="B483" s="168"/>
      <c r="C483" s="170"/>
      <c r="D483" s="39"/>
      <c r="E483" s="166"/>
      <c r="F483" s="38" t="s">
        <v>1762</v>
      </c>
      <c r="G483" s="39" t="s">
        <v>1763</v>
      </c>
      <c r="H483" s="103"/>
      <c r="I483" s="43"/>
    </row>
    <row r="484" spans="1:9" ht="25" x14ac:dyDescent="0.25">
      <c r="A484" s="122" t="s">
        <v>1764</v>
      </c>
      <c r="B484" s="168"/>
      <c r="C484" s="170"/>
      <c r="D484" s="39"/>
      <c r="E484" s="166"/>
      <c r="F484" s="38" t="s">
        <v>1765</v>
      </c>
      <c r="G484" s="39" t="s">
        <v>1766</v>
      </c>
      <c r="H484" s="103"/>
      <c r="I484" s="43"/>
    </row>
    <row r="485" spans="1:9" ht="37.5" x14ac:dyDescent="0.25">
      <c r="A485" s="121" t="s">
        <v>1767</v>
      </c>
      <c r="B485" s="168"/>
      <c r="C485" s="170"/>
      <c r="D485" s="39"/>
      <c r="E485" s="166"/>
      <c r="F485" s="38" t="s">
        <v>1768</v>
      </c>
      <c r="G485" s="39" t="s">
        <v>1769</v>
      </c>
      <c r="H485" s="103"/>
      <c r="I485" s="43"/>
    </row>
    <row r="486" spans="1:9" ht="37.5" x14ac:dyDescent="0.25">
      <c r="A486" s="122" t="s">
        <v>1770</v>
      </c>
      <c r="B486" s="168"/>
      <c r="C486" s="170"/>
      <c r="D486" s="39"/>
      <c r="E486" s="166"/>
      <c r="F486" s="38" t="s">
        <v>1771</v>
      </c>
      <c r="G486" s="39" t="s">
        <v>1772</v>
      </c>
      <c r="H486" s="103"/>
      <c r="I486" s="43"/>
    </row>
    <row r="487" spans="1:9" ht="13" x14ac:dyDescent="0.25">
      <c r="A487" s="121" t="s">
        <v>1776</v>
      </c>
      <c r="B487" s="168"/>
      <c r="C487" s="170"/>
      <c r="D487" s="39" t="s">
        <v>1774</v>
      </c>
      <c r="E487" s="166" t="s">
        <v>1775</v>
      </c>
      <c r="F487" s="38" t="s">
        <v>644</v>
      </c>
      <c r="G487" s="39"/>
      <c r="H487" s="103"/>
      <c r="I487" s="43"/>
    </row>
    <row r="488" spans="1:9" ht="13" x14ac:dyDescent="0.25">
      <c r="A488" s="122" t="s">
        <v>1777</v>
      </c>
      <c r="B488" s="168"/>
      <c r="C488" s="170"/>
      <c r="D488" s="39"/>
      <c r="E488" s="166"/>
      <c r="F488" s="38" t="s">
        <v>650</v>
      </c>
      <c r="G488" s="39"/>
      <c r="H488" s="103"/>
      <c r="I488" s="43"/>
    </row>
    <row r="489" spans="1:9" ht="13" x14ac:dyDescent="0.25">
      <c r="A489" s="121" t="s">
        <v>1778</v>
      </c>
      <c r="B489" s="168"/>
      <c r="C489" s="170"/>
      <c r="D489" s="39"/>
      <c r="E489" s="166"/>
      <c r="F489" s="38" t="s">
        <v>1220</v>
      </c>
      <c r="G489" s="39"/>
      <c r="H489" s="103"/>
      <c r="I489" s="43"/>
    </row>
    <row r="490" spans="1:9" ht="13" x14ac:dyDescent="0.25">
      <c r="A490" s="122" t="s">
        <v>1779</v>
      </c>
      <c r="B490" s="168"/>
      <c r="C490" s="170"/>
      <c r="D490" s="39"/>
      <c r="E490" s="166"/>
      <c r="F490" s="38" t="s">
        <v>1780</v>
      </c>
      <c r="G490" s="39" t="s">
        <v>1781</v>
      </c>
      <c r="H490" s="103"/>
      <c r="I490" s="43"/>
    </row>
    <row r="491" spans="1:9" ht="25" x14ac:dyDescent="0.25">
      <c r="A491" s="121" t="s">
        <v>1782</v>
      </c>
      <c r="B491" s="168"/>
      <c r="C491" s="170"/>
      <c r="D491" s="39"/>
      <c r="E491" s="166"/>
      <c r="F491" s="38" t="s">
        <v>1756</v>
      </c>
      <c r="G491" s="39" t="s">
        <v>1757</v>
      </c>
      <c r="H491" s="103"/>
      <c r="I491" s="43"/>
    </row>
    <row r="492" spans="1:9" ht="25" x14ac:dyDescent="0.25">
      <c r="A492" s="122" t="s">
        <v>1783</v>
      </c>
      <c r="B492" s="168"/>
      <c r="C492" s="170"/>
      <c r="D492" s="39"/>
      <c r="E492" s="166"/>
      <c r="F492" s="38" t="s">
        <v>1759</v>
      </c>
      <c r="G492" s="39" t="s">
        <v>1760</v>
      </c>
      <c r="H492" s="103"/>
      <c r="I492" s="43"/>
    </row>
    <row r="493" spans="1:9" ht="50.65" customHeight="1" x14ac:dyDescent="0.25">
      <c r="A493" s="121" t="s">
        <v>1787</v>
      </c>
      <c r="B493" s="168"/>
      <c r="C493" s="170"/>
      <c r="D493" s="39" t="s">
        <v>1785</v>
      </c>
      <c r="E493" s="174" t="s">
        <v>1786</v>
      </c>
      <c r="F493" s="38" t="s">
        <v>644</v>
      </c>
      <c r="G493" s="39"/>
      <c r="H493" s="103"/>
      <c r="I493" s="43"/>
    </row>
    <row r="494" spans="1:9" ht="13" x14ac:dyDescent="0.25">
      <c r="A494" s="122" t="s">
        <v>1788</v>
      </c>
      <c r="B494" s="168"/>
      <c r="C494" s="170"/>
      <c r="D494" s="39"/>
      <c r="E494" s="166"/>
      <c r="F494" s="38" t="s">
        <v>650</v>
      </c>
      <c r="G494" s="39"/>
      <c r="H494" s="103"/>
      <c r="I494" s="43"/>
    </row>
    <row r="495" spans="1:9" ht="13" x14ac:dyDescent="0.25">
      <c r="A495" s="121" t="s">
        <v>1789</v>
      </c>
      <c r="B495" s="168"/>
      <c r="C495" s="170"/>
      <c r="D495" s="39"/>
      <c r="E495" s="166"/>
      <c r="F495" s="38" t="s">
        <v>1220</v>
      </c>
      <c r="G495" s="39"/>
      <c r="H495" s="103"/>
      <c r="I495" s="43"/>
    </row>
    <row r="496" spans="1:9" ht="25" x14ac:dyDescent="0.25">
      <c r="A496" s="122" t="s">
        <v>1790</v>
      </c>
      <c r="B496" s="168"/>
      <c r="C496" s="170"/>
      <c r="D496" s="39"/>
      <c r="E496" s="166"/>
      <c r="F496" s="38" t="s">
        <v>1756</v>
      </c>
      <c r="G496" s="39" t="s">
        <v>1757</v>
      </c>
      <c r="H496" s="103"/>
      <c r="I496" s="43"/>
    </row>
    <row r="497" spans="1:9" ht="25" x14ac:dyDescent="0.25">
      <c r="A497" s="121" t="s">
        <v>1791</v>
      </c>
      <c r="B497" s="168"/>
      <c r="C497" s="170"/>
      <c r="D497" s="39"/>
      <c r="E497" s="166"/>
      <c r="F497" s="38" t="s">
        <v>1759</v>
      </c>
      <c r="G497" s="39" t="s">
        <v>1760</v>
      </c>
      <c r="H497" s="103"/>
      <c r="I497" s="43"/>
    </row>
    <row r="498" spans="1:9" ht="25" x14ac:dyDescent="0.25">
      <c r="A498" s="122" t="s">
        <v>1795</v>
      </c>
      <c r="B498" s="168"/>
      <c r="C498" s="170"/>
      <c r="D498" s="39" t="s">
        <v>1793</v>
      </c>
      <c r="E498" s="166" t="s">
        <v>1794</v>
      </c>
      <c r="F498" s="38" t="s">
        <v>644</v>
      </c>
      <c r="G498" s="39"/>
      <c r="H498" s="103"/>
      <c r="I498" s="43"/>
    </row>
    <row r="499" spans="1:9" ht="13" x14ac:dyDescent="0.25">
      <c r="A499" s="121" t="s">
        <v>1796</v>
      </c>
      <c r="B499" s="168"/>
      <c r="C499" s="170"/>
      <c r="D499" s="39"/>
      <c r="E499" s="166"/>
      <c r="F499" s="38" t="s">
        <v>650</v>
      </c>
      <c r="G499" s="39"/>
      <c r="H499" s="103"/>
      <c r="I499" s="43"/>
    </row>
    <row r="500" spans="1:9" ht="13" x14ac:dyDescent="0.25">
      <c r="A500" s="122" t="s">
        <v>1797</v>
      </c>
      <c r="B500" s="168"/>
      <c r="C500" s="170"/>
      <c r="D500" s="39"/>
      <c r="E500" s="166"/>
      <c r="F500" s="38" t="s">
        <v>1220</v>
      </c>
      <c r="G500" s="39"/>
      <c r="H500" s="103"/>
      <c r="I500" s="43"/>
    </row>
    <row r="501" spans="1:9" ht="25" x14ac:dyDescent="0.25">
      <c r="A501" s="121" t="s">
        <v>1798</v>
      </c>
      <c r="B501" s="168"/>
      <c r="C501" s="170"/>
      <c r="D501" s="39"/>
      <c r="E501" s="166"/>
      <c r="F501" s="38" t="s">
        <v>1799</v>
      </c>
      <c r="G501" s="39" t="s">
        <v>1800</v>
      </c>
      <c r="H501" s="103"/>
      <c r="I501" s="43"/>
    </row>
    <row r="502" spans="1:9" ht="25" x14ac:dyDescent="0.25">
      <c r="A502" s="122" t="s">
        <v>1801</v>
      </c>
      <c r="B502" s="168"/>
      <c r="C502" s="170"/>
      <c r="D502" s="39"/>
      <c r="E502" s="166"/>
      <c r="F502" s="38" t="s">
        <v>1756</v>
      </c>
      <c r="G502" s="39" t="s">
        <v>1757</v>
      </c>
      <c r="H502" s="103"/>
      <c r="I502" s="43"/>
    </row>
    <row r="503" spans="1:9" ht="25" x14ac:dyDescent="0.25">
      <c r="A503" s="121" t="s">
        <v>1802</v>
      </c>
      <c r="B503" s="168"/>
      <c r="C503" s="170"/>
      <c r="D503" s="39"/>
      <c r="E503" s="166"/>
      <c r="F503" s="38" t="s">
        <v>1759</v>
      </c>
      <c r="G503" s="39" t="s">
        <v>1760</v>
      </c>
      <c r="H503" s="103"/>
      <c r="I503" s="43"/>
    </row>
    <row r="504" spans="1:9" ht="13" x14ac:dyDescent="0.25">
      <c r="A504" s="122" t="s">
        <v>1803</v>
      </c>
      <c r="B504" s="168"/>
      <c r="C504" s="170"/>
      <c r="D504" s="39"/>
      <c r="E504" s="166"/>
      <c r="F504" s="38" t="s">
        <v>1804</v>
      </c>
      <c r="G504" s="39"/>
      <c r="H504" s="103"/>
      <c r="I504" s="43"/>
    </row>
    <row r="505" spans="1:9" ht="13" x14ac:dyDescent="0.25">
      <c r="A505" s="121" t="s">
        <v>1808</v>
      </c>
      <c r="B505" s="168"/>
      <c r="C505" s="170"/>
      <c r="D505" s="39" t="s">
        <v>1806</v>
      </c>
      <c r="E505" s="166" t="s">
        <v>1807</v>
      </c>
      <c r="F505" s="38" t="s">
        <v>644</v>
      </c>
      <c r="G505" s="39"/>
      <c r="H505" s="103"/>
      <c r="I505" s="43"/>
    </row>
    <row r="506" spans="1:9" ht="13" x14ac:dyDescent="0.25">
      <c r="A506" s="122" t="s">
        <v>1809</v>
      </c>
      <c r="B506" s="168"/>
      <c r="C506" s="170"/>
      <c r="D506" s="39"/>
      <c r="E506" s="166"/>
      <c r="F506" s="38" t="s">
        <v>650</v>
      </c>
      <c r="G506" s="39"/>
      <c r="H506" s="103"/>
      <c r="I506" s="43"/>
    </row>
    <row r="507" spans="1:9" ht="13" x14ac:dyDescent="0.25">
      <c r="A507" s="121" t="s">
        <v>1810</v>
      </c>
      <c r="B507" s="168"/>
      <c r="C507" s="170"/>
      <c r="D507" s="39"/>
      <c r="E507" s="166"/>
      <c r="F507" s="38" t="s">
        <v>1220</v>
      </c>
      <c r="G507" s="39"/>
      <c r="H507" s="103"/>
      <c r="I507" s="43"/>
    </row>
    <row r="508" spans="1:9" ht="13" x14ac:dyDescent="0.25">
      <c r="A508" s="122" t="s">
        <v>1811</v>
      </c>
      <c r="B508" s="168"/>
      <c r="C508" s="170"/>
      <c r="D508" s="39"/>
      <c r="E508" s="166"/>
      <c r="F508" s="38" t="s">
        <v>1812</v>
      </c>
      <c r="G508" s="39" t="s">
        <v>1813</v>
      </c>
      <c r="H508" s="103"/>
      <c r="I508" s="43"/>
    </row>
    <row r="509" spans="1:9" ht="13" x14ac:dyDescent="0.25">
      <c r="A509" s="121" t="s">
        <v>1814</v>
      </c>
      <c r="B509" s="168"/>
      <c r="C509" s="170"/>
      <c r="D509" s="39"/>
      <c r="E509" s="166"/>
      <c r="F509" s="38" t="s">
        <v>1815</v>
      </c>
      <c r="G509" s="39" t="s">
        <v>1816</v>
      </c>
      <c r="H509" s="103"/>
      <c r="I509" s="43"/>
    </row>
    <row r="510" spans="1:9" ht="25" x14ac:dyDescent="0.25">
      <c r="A510" s="122" t="s">
        <v>1817</v>
      </c>
      <c r="B510" s="168"/>
      <c r="C510" s="170"/>
      <c r="D510" s="39"/>
      <c r="E510" s="166"/>
      <c r="F510" s="38" t="s">
        <v>1756</v>
      </c>
      <c r="G510" s="39" t="s">
        <v>1757</v>
      </c>
      <c r="H510" s="103"/>
      <c r="I510" s="43"/>
    </row>
    <row r="511" spans="1:9" ht="25" x14ac:dyDescent="0.25">
      <c r="A511" s="121" t="s">
        <v>1818</v>
      </c>
      <c r="B511" s="168"/>
      <c r="C511" s="170"/>
      <c r="D511" s="39"/>
      <c r="E511" s="166"/>
      <c r="F511" s="38" t="s">
        <v>1759</v>
      </c>
      <c r="G511" s="39" t="s">
        <v>1760</v>
      </c>
      <c r="H511" s="103"/>
      <c r="I511" s="43"/>
    </row>
    <row r="512" spans="1:9" ht="25" x14ac:dyDescent="0.25">
      <c r="A512" s="122" t="s">
        <v>1824</v>
      </c>
      <c r="B512" s="167" t="s">
        <v>1819</v>
      </c>
      <c r="C512" s="169" t="s">
        <v>1820</v>
      </c>
      <c r="D512" s="39" t="s">
        <v>1822</v>
      </c>
      <c r="E512" s="166" t="s">
        <v>1823</v>
      </c>
      <c r="F512" s="38" t="s">
        <v>708</v>
      </c>
      <c r="G512" s="39"/>
      <c r="H512" s="103"/>
      <c r="I512" s="43"/>
    </row>
    <row r="513" spans="1:9" ht="13" x14ac:dyDescent="0.25">
      <c r="A513" s="121" t="s">
        <v>1825</v>
      </c>
      <c r="B513" s="168"/>
      <c r="C513" s="170"/>
      <c r="D513" s="39"/>
      <c r="E513" s="166"/>
      <c r="F513" s="38" t="s">
        <v>710</v>
      </c>
      <c r="G513" s="39"/>
      <c r="H513" s="103"/>
      <c r="I513" s="43"/>
    </row>
    <row r="514" spans="1:9" ht="13" x14ac:dyDescent="0.25">
      <c r="A514" s="122" t="s">
        <v>1826</v>
      </c>
      <c r="B514" s="168"/>
      <c r="C514" s="170"/>
      <c r="D514" s="39"/>
      <c r="E514" s="166"/>
      <c r="F514" s="38" t="s">
        <v>1827</v>
      </c>
      <c r="G514" s="39"/>
      <c r="H514" s="103"/>
      <c r="I514" s="43"/>
    </row>
    <row r="515" spans="1:9" ht="13" x14ac:dyDescent="0.25">
      <c r="A515" s="121" t="s">
        <v>1828</v>
      </c>
      <c r="B515" s="168"/>
      <c r="C515" s="170"/>
      <c r="D515" s="39"/>
      <c r="E515" s="166"/>
      <c r="F515" s="38" t="s">
        <v>1829</v>
      </c>
      <c r="G515" s="39"/>
      <c r="H515" s="103"/>
      <c r="I515" s="43"/>
    </row>
    <row r="516" spans="1:9" ht="13" x14ac:dyDescent="0.25">
      <c r="A516" s="122" t="s">
        <v>1831</v>
      </c>
      <c r="B516" s="168"/>
      <c r="C516" s="170"/>
      <c r="D516" s="39" t="s">
        <v>796</v>
      </c>
      <c r="E516" s="166"/>
      <c r="F516" s="38" t="s">
        <v>644</v>
      </c>
      <c r="G516" s="39"/>
      <c r="H516" s="103"/>
      <c r="I516" s="43"/>
    </row>
    <row r="517" spans="1:9" ht="13" x14ac:dyDescent="0.25">
      <c r="A517" s="121" t="s">
        <v>1832</v>
      </c>
      <c r="B517" s="168"/>
      <c r="C517" s="170"/>
      <c r="D517" s="39"/>
      <c r="E517" s="166"/>
      <c r="F517" s="38" t="s">
        <v>646</v>
      </c>
      <c r="G517" s="39"/>
      <c r="H517" s="103"/>
      <c r="I517" s="43"/>
    </row>
    <row r="518" spans="1:9" ht="13" x14ac:dyDescent="0.25">
      <c r="A518" s="122" t="s">
        <v>1834</v>
      </c>
      <c r="B518" s="168"/>
      <c r="C518" s="170"/>
      <c r="D518" s="39" t="s">
        <v>1330</v>
      </c>
      <c r="E518" s="166"/>
      <c r="F518" s="38" t="s">
        <v>1799</v>
      </c>
      <c r="G518" s="39" t="s">
        <v>1835</v>
      </c>
      <c r="H518" s="103"/>
      <c r="I518" s="43"/>
    </row>
    <row r="519" spans="1:9" ht="13" x14ac:dyDescent="0.25">
      <c r="A519" s="121" t="s">
        <v>1837</v>
      </c>
      <c r="B519" s="173"/>
      <c r="C519" s="171"/>
      <c r="D519" s="39" t="s">
        <v>1737</v>
      </c>
      <c r="E519" s="166"/>
      <c r="F519" s="38" t="s">
        <v>1838</v>
      </c>
      <c r="G519" s="39"/>
      <c r="H519" s="103"/>
      <c r="I519" s="43"/>
    </row>
    <row r="520" spans="1:9" ht="25" x14ac:dyDescent="0.25">
      <c r="A520" s="122" t="s">
        <v>1843</v>
      </c>
      <c r="B520" s="167" t="s">
        <v>1839</v>
      </c>
      <c r="C520" s="169" t="s">
        <v>1840</v>
      </c>
      <c r="D520" s="39" t="s">
        <v>1842</v>
      </c>
      <c r="E520" s="166"/>
      <c r="F520" s="38" t="s">
        <v>1844</v>
      </c>
      <c r="G520" s="39"/>
      <c r="H520" s="103"/>
      <c r="I520" s="43"/>
    </row>
    <row r="521" spans="1:9" ht="13" x14ac:dyDescent="0.25">
      <c r="A521" s="121" t="s">
        <v>1845</v>
      </c>
      <c r="B521" s="168"/>
      <c r="C521" s="170"/>
      <c r="D521" s="39"/>
      <c r="E521" s="166"/>
      <c r="F521" s="38" t="s">
        <v>1846</v>
      </c>
      <c r="G521" s="39"/>
      <c r="H521" s="103"/>
      <c r="I521" s="43"/>
    </row>
    <row r="522" spans="1:9" ht="13" x14ac:dyDescent="0.25">
      <c r="A522" s="122" t="s">
        <v>1847</v>
      </c>
      <c r="B522" s="168"/>
      <c r="C522" s="170"/>
      <c r="D522" s="39"/>
      <c r="E522" s="166"/>
      <c r="F522" s="38" t="s">
        <v>644</v>
      </c>
      <c r="G522" s="39"/>
      <c r="H522" s="103"/>
      <c r="I522" s="43"/>
    </row>
    <row r="523" spans="1:9" ht="13" x14ac:dyDescent="0.25">
      <c r="A523" s="121" t="s">
        <v>1848</v>
      </c>
      <c r="B523" s="168"/>
      <c r="C523" s="170"/>
      <c r="D523" s="39"/>
      <c r="E523" s="166"/>
      <c r="F523" s="38" t="s">
        <v>866</v>
      </c>
      <c r="G523" s="39"/>
      <c r="H523" s="103"/>
      <c r="I523" s="43"/>
    </row>
    <row r="524" spans="1:9" ht="25" x14ac:dyDescent="0.25">
      <c r="A524" s="122" t="s">
        <v>1851</v>
      </c>
      <c r="B524" s="168"/>
      <c r="C524" s="170"/>
      <c r="D524" s="39" t="s">
        <v>1850</v>
      </c>
      <c r="E524" s="166"/>
      <c r="F524" s="38" t="s">
        <v>644</v>
      </c>
      <c r="G524" s="39" t="s">
        <v>1852</v>
      </c>
      <c r="H524" s="103"/>
      <c r="I524" s="43"/>
    </row>
    <row r="525" spans="1:9" ht="13" x14ac:dyDescent="0.25">
      <c r="A525" s="121" t="s">
        <v>1853</v>
      </c>
      <c r="B525" s="168"/>
      <c r="C525" s="170"/>
      <c r="D525" s="39"/>
      <c r="E525" s="166"/>
      <c r="F525" s="38" t="s">
        <v>650</v>
      </c>
      <c r="G525" s="39"/>
      <c r="H525" s="103"/>
      <c r="I525" s="43"/>
    </row>
    <row r="526" spans="1:9" ht="37.5" x14ac:dyDescent="0.25">
      <c r="A526" s="122" t="s">
        <v>1858</v>
      </c>
      <c r="B526" s="167" t="s">
        <v>1854</v>
      </c>
      <c r="C526" s="169" t="s">
        <v>1855</v>
      </c>
      <c r="D526" s="39" t="s">
        <v>1857</v>
      </c>
      <c r="E526" s="166"/>
      <c r="F526" s="38" t="s">
        <v>1859</v>
      </c>
      <c r="G526" s="39" t="s">
        <v>1860</v>
      </c>
      <c r="H526" s="103"/>
      <c r="I526" s="43"/>
    </row>
    <row r="527" spans="1:9" ht="13" x14ac:dyDescent="0.25">
      <c r="A527" s="121" t="s">
        <v>1861</v>
      </c>
      <c r="B527" s="168"/>
      <c r="C527" s="170"/>
      <c r="D527" s="39"/>
      <c r="E527" s="166"/>
      <c r="F527" s="38" t="s">
        <v>644</v>
      </c>
      <c r="G527" s="39" t="s">
        <v>1862</v>
      </c>
      <c r="H527" s="103"/>
      <c r="I527" s="43"/>
    </row>
    <row r="528" spans="1:9" ht="13" x14ac:dyDescent="0.25">
      <c r="A528" s="122" t="s">
        <v>1863</v>
      </c>
      <c r="B528" s="168"/>
      <c r="C528" s="170"/>
      <c r="D528" s="39"/>
      <c r="E528" s="166"/>
      <c r="F528" s="38" t="s">
        <v>1686</v>
      </c>
      <c r="G528" s="39" t="s">
        <v>1864</v>
      </c>
      <c r="H528" s="103"/>
      <c r="I528" s="43"/>
    </row>
    <row r="529" spans="1:9" ht="13" x14ac:dyDescent="0.25">
      <c r="A529" s="121" t="s">
        <v>1865</v>
      </c>
      <c r="B529" s="168"/>
      <c r="C529" s="170"/>
      <c r="D529" s="39"/>
      <c r="E529" s="166"/>
      <c r="F529" s="38" t="s">
        <v>1844</v>
      </c>
      <c r="G529" s="39"/>
      <c r="H529" s="103"/>
      <c r="I529" s="43"/>
    </row>
    <row r="530" spans="1:9" ht="13" x14ac:dyDescent="0.25">
      <c r="A530" s="122" t="s">
        <v>1868</v>
      </c>
      <c r="B530" s="168"/>
      <c r="C530" s="170"/>
      <c r="D530" s="39" t="s">
        <v>1867</v>
      </c>
      <c r="E530" s="166"/>
      <c r="F530" s="38" t="s">
        <v>644</v>
      </c>
      <c r="G530" s="39"/>
      <c r="H530" s="103"/>
      <c r="I530" s="43"/>
    </row>
    <row r="531" spans="1:9" ht="13" x14ac:dyDescent="0.25">
      <c r="A531" s="121" t="s">
        <v>1869</v>
      </c>
      <c r="B531" s="173"/>
      <c r="C531" s="171"/>
      <c r="D531" s="39"/>
      <c r="E531" s="166"/>
      <c r="F531" s="38" t="s">
        <v>650</v>
      </c>
      <c r="G531" s="39"/>
      <c r="H531" s="103"/>
      <c r="I531" s="43"/>
    </row>
    <row r="532" spans="1:9" ht="25" x14ac:dyDescent="0.25">
      <c r="A532" s="122" t="s">
        <v>1875</v>
      </c>
      <c r="B532" s="167" t="s">
        <v>1870</v>
      </c>
      <c r="C532" s="248" t="s">
        <v>1871</v>
      </c>
      <c r="D532" s="39" t="s">
        <v>1873</v>
      </c>
      <c r="E532" s="166" t="s">
        <v>1874</v>
      </c>
      <c r="F532" s="38" t="s">
        <v>1859</v>
      </c>
      <c r="G532" s="39"/>
      <c r="H532" s="103"/>
      <c r="I532" s="43"/>
    </row>
    <row r="533" spans="1:9" ht="13" x14ac:dyDescent="0.25">
      <c r="A533" s="121" t="s">
        <v>1876</v>
      </c>
      <c r="B533" s="168"/>
      <c r="C533" s="249"/>
      <c r="D533" s="39"/>
      <c r="E533" s="166"/>
      <c r="F533" s="38" t="s">
        <v>1877</v>
      </c>
      <c r="G533" s="39"/>
      <c r="H533" s="103"/>
      <c r="I533" s="43"/>
    </row>
    <row r="534" spans="1:9" ht="25" x14ac:dyDescent="0.25">
      <c r="A534" s="122" t="s">
        <v>1878</v>
      </c>
      <c r="B534" s="168"/>
      <c r="C534" s="170"/>
      <c r="D534" s="39"/>
      <c r="E534" s="166"/>
      <c r="F534" s="38" t="s">
        <v>644</v>
      </c>
      <c r="G534" s="39" t="s">
        <v>1879</v>
      </c>
      <c r="H534" s="107"/>
      <c r="I534" s="43"/>
    </row>
    <row r="535" spans="1:9" ht="25" x14ac:dyDescent="0.25">
      <c r="A535" s="121" t="s">
        <v>1880</v>
      </c>
      <c r="B535" s="168"/>
      <c r="C535" s="170"/>
      <c r="D535" s="39"/>
      <c r="E535" s="166"/>
      <c r="F535" s="38" t="s">
        <v>650</v>
      </c>
      <c r="G535" s="39" t="s">
        <v>1879</v>
      </c>
      <c r="H535" s="103"/>
      <c r="I535" s="43"/>
    </row>
    <row r="536" spans="1:9" ht="13" x14ac:dyDescent="0.25">
      <c r="A536" s="122" t="s">
        <v>1884</v>
      </c>
      <c r="B536" s="168"/>
      <c r="C536" s="170"/>
      <c r="D536" s="39" t="s">
        <v>1882</v>
      </c>
      <c r="E536" s="166" t="s">
        <v>1883</v>
      </c>
      <c r="F536" s="38" t="s">
        <v>1859</v>
      </c>
      <c r="G536" s="39"/>
      <c r="H536" s="103"/>
      <c r="I536" s="43"/>
    </row>
    <row r="537" spans="1:9" ht="13" x14ac:dyDescent="0.25">
      <c r="A537" s="121" t="s">
        <v>1885</v>
      </c>
      <c r="B537" s="45"/>
      <c r="C537" s="45"/>
      <c r="D537" s="39"/>
      <c r="E537" s="166"/>
      <c r="F537" s="38" t="s">
        <v>644</v>
      </c>
      <c r="G537" s="39"/>
      <c r="H537" s="103"/>
      <c r="I537" s="43"/>
    </row>
    <row r="538" spans="1:9" ht="13" x14ac:dyDescent="0.25">
      <c r="A538" s="122" t="s">
        <v>1886</v>
      </c>
      <c r="B538" s="45"/>
      <c r="C538" s="45"/>
      <c r="D538" s="39"/>
      <c r="E538" s="166"/>
      <c r="F538" s="38" t="s">
        <v>1887</v>
      </c>
      <c r="G538" s="39"/>
      <c r="H538" s="103"/>
      <c r="I538" s="43"/>
    </row>
    <row r="539" spans="1:9" ht="13" x14ac:dyDescent="0.25">
      <c r="A539" s="121" t="s">
        <v>1888</v>
      </c>
      <c r="B539" s="45"/>
      <c r="C539" s="45"/>
      <c r="D539" s="39"/>
      <c r="E539" s="166"/>
      <c r="F539" s="38" t="s">
        <v>650</v>
      </c>
      <c r="G539" s="39"/>
      <c r="H539" s="103"/>
      <c r="I539" s="43"/>
    </row>
    <row r="540" spans="1:9" ht="13" x14ac:dyDescent="0.25">
      <c r="A540" s="122" t="s">
        <v>1893</v>
      </c>
      <c r="B540" s="167" t="s">
        <v>1889</v>
      </c>
      <c r="C540" s="248" t="s">
        <v>1890</v>
      </c>
      <c r="D540" s="39" t="s">
        <v>1892</v>
      </c>
      <c r="E540" s="166"/>
      <c r="F540" s="38" t="s">
        <v>1371</v>
      </c>
      <c r="G540" s="39"/>
      <c r="H540" s="48" t="s">
        <v>23</v>
      </c>
      <c r="I540" s="36" t="s">
        <v>25</v>
      </c>
    </row>
    <row r="541" spans="1:9" ht="13" x14ac:dyDescent="0.25">
      <c r="A541" s="121" t="s">
        <v>1894</v>
      </c>
      <c r="B541" s="168"/>
      <c r="C541" s="249"/>
      <c r="D541" s="39"/>
      <c r="E541" s="166"/>
      <c r="F541" s="38" t="s">
        <v>1895</v>
      </c>
      <c r="G541" s="39"/>
      <c r="H541" s="104"/>
      <c r="I541" s="36" t="s">
        <v>26</v>
      </c>
    </row>
    <row r="542" spans="1:9" ht="13.25" customHeight="1" x14ac:dyDescent="0.25">
      <c r="A542" s="122" t="s">
        <v>1896</v>
      </c>
      <c r="B542" s="168"/>
      <c r="C542" s="249"/>
      <c r="D542" s="39"/>
      <c r="E542" s="166"/>
      <c r="F542" s="38" t="s">
        <v>1497</v>
      </c>
      <c r="G542" s="39"/>
      <c r="H542" s="104"/>
      <c r="I542" s="36" t="s">
        <v>27</v>
      </c>
    </row>
    <row r="543" spans="1:9" ht="13" x14ac:dyDescent="0.25">
      <c r="A543" s="121" t="s">
        <v>1897</v>
      </c>
      <c r="B543" s="168"/>
      <c r="C543" s="249"/>
      <c r="D543" s="39"/>
      <c r="E543" s="166"/>
      <c r="F543" s="38" t="s">
        <v>1898</v>
      </c>
      <c r="G543" s="39"/>
      <c r="H543" s="104"/>
      <c r="I543" s="36" t="s">
        <v>28</v>
      </c>
    </row>
    <row r="544" spans="1:9" ht="13" x14ac:dyDescent="0.25">
      <c r="A544" s="122" t="s">
        <v>1901</v>
      </c>
      <c r="B544" s="168"/>
      <c r="C544" s="249"/>
      <c r="D544" s="39" t="s">
        <v>1900</v>
      </c>
      <c r="E544" s="166"/>
      <c r="F544" s="38" t="s">
        <v>1367</v>
      </c>
      <c r="G544" s="39"/>
      <c r="H544" s="104"/>
      <c r="I544" s="36"/>
    </row>
    <row r="545" spans="1:9" ht="13" x14ac:dyDescent="0.25">
      <c r="A545" s="121" t="s">
        <v>1902</v>
      </c>
      <c r="B545" s="168"/>
      <c r="C545" s="249"/>
      <c r="D545" s="39"/>
      <c r="E545" s="166"/>
      <c r="F545" s="38" t="s">
        <v>652</v>
      </c>
      <c r="G545" s="39"/>
      <c r="H545" s="104"/>
      <c r="I545" s="36"/>
    </row>
    <row r="546" spans="1:9" ht="25" x14ac:dyDescent="0.25">
      <c r="A546" s="122" t="s">
        <v>1904</v>
      </c>
      <c r="B546" s="168"/>
      <c r="C546" s="249"/>
      <c r="D546" s="39" t="s">
        <v>689</v>
      </c>
      <c r="E546" s="166"/>
      <c r="F546" s="38" t="s">
        <v>694</v>
      </c>
      <c r="G546" s="39" t="s">
        <v>692</v>
      </c>
      <c r="H546" s="104"/>
      <c r="I546" s="36"/>
    </row>
    <row r="547" spans="1:9" ht="25.5" x14ac:dyDescent="0.3">
      <c r="A547" s="121" t="s">
        <v>1906</v>
      </c>
      <c r="B547" s="173"/>
      <c r="C547" s="250"/>
      <c r="D547" s="39" t="s">
        <v>696</v>
      </c>
      <c r="E547" s="166"/>
      <c r="F547" s="127" t="s">
        <v>694</v>
      </c>
      <c r="G547" s="39" t="s">
        <v>692</v>
      </c>
      <c r="H547" s="104"/>
      <c r="I547" s="36"/>
    </row>
    <row r="548" spans="1:9" ht="13" x14ac:dyDescent="0.25">
      <c r="A548" s="122" t="s">
        <v>1911</v>
      </c>
      <c r="B548" s="167" t="s">
        <v>1907</v>
      </c>
      <c r="C548" s="248" t="s">
        <v>1908</v>
      </c>
      <c r="D548" s="39" t="s">
        <v>1910</v>
      </c>
      <c r="E548" s="166"/>
      <c r="F548" s="38" t="s">
        <v>1912</v>
      </c>
      <c r="G548" s="39"/>
      <c r="H548" s="104"/>
      <c r="I548" s="36"/>
    </row>
    <row r="549" spans="1:9" ht="13" x14ac:dyDescent="0.25">
      <c r="A549" s="121" t="s">
        <v>1913</v>
      </c>
      <c r="B549" s="168"/>
      <c r="C549" s="249"/>
      <c r="D549" s="39"/>
      <c r="E549" s="166"/>
      <c r="F549" s="38" t="s">
        <v>1914</v>
      </c>
      <c r="G549" s="39" t="s">
        <v>1915</v>
      </c>
      <c r="H549" s="104"/>
      <c r="I549" s="36"/>
    </row>
    <row r="550" spans="1:9" ht="13" x14ac:dyDescent="0.25">
      <c r="A550" s="122" t="s">
        <v>1916</v>
      </c>
      <c r="B550" s="168"/>
      <c r="C550" s="249"/>
      <c r="D550" s="39"/>
      <c r="E550" s="166"/>
      <c r="F550" s="38" t="s">
        <v>1917</v>
      </c>
      <c r="G550" s="39" t="s">
        <v>1918</v>
      </c>
      <c r="H550" s="104"/>
      <c r="I550" s="36"/>
    </row>
    <row r="551" spans="1:9" ht="13" x14ac:dyDescent="0.25">
      <c r="A551" s="121" t="s">
        <v>1919</v>
      </c>
      <c r="B551" s="168"/>
      <c r="C551" s="249"/>
      <c r="D551" s="39"/>
      <c r="E551" s="166"/>
      <c r="F551" s="38" t="s">
        <v>1371</v>
      </c>
      <c r="G551" s="39"/>
      <c r="H551" s="104"/>
      <c r="I551" s="36"/>
    </row>
    <row r="552" spans="1:9" ht="13" x14ac:dyDescent="0.25">
      <c r="A552" s="122" t="s">
        <v>1920</v>
      </c>
      <c r="B552" s="168"/>
      <c r="C552" s="249"/>
      <c r="D552" s="39"/>
      <c r="E552" s="166"/>
      <c r="F552" s="38" t="s">
        <v>1689</v>
      </c>
      <c r="G552" s="39"/>
      <c r="H552" s="104"/>
      <c r="I552" s="36"/>
    </row>
    <row r="553" spans="1:9" ht="13" x14ac:dyDescent="0.25">
      <c r="A553" s="121" t="s">
        <v>1923</v>
      </c>
      <c r="B553" s="168"/>
      <c r="C553" s="249"/>
      <c r="D553" s="39" t="s">
        <v>1922</v>
      </c>
      <c r="E553" s="166"/>
      <c r="F553" s="38" t="s">
        <v>1924</v>
      </c>
      <c r="G553" s="39"/>
      <c r="H553" s="104"/>
      <c r="I553" s="36"/>
    </row>
    <row r="554" spans="1:9" ht="13" x14ac:dyDescent="0.25">
      <c r="A554" s="122" t="s">
        <v>1925</v>
      </c>
      <c r="B554" s="168"/>
      <c r="C554" s="168"/>
      <c r="D554" s="39"/>
      <c r="E554" s="166"/>
      <c r="F554" s="38" t="s">
        <v>650</v>
      </c>
      <c r="G554" s="39"/>
      <c r="H554" s="104"/>
      <c r="I554" s="36"/>
    </row>
    <row r="555" spans="1:9" ht="13" x14ac:dyDescent="0.25">
      <c r="A555" s="121" t="s">
        <v>1926</v>
      </c>
      <c r="B555" s="168"/>
      <c r="C555" s="168"/>
      <c r="D555" s="39"/>
      <c r="E555" s="166"/>
      <c r="F555" s="38" t="s">
        <v>1631</v>
      </c>
      <c r="G555" s="39"/>
      <c r="H555" s="104"/>
      <c r="I555" s="36"/>
    </row>
    <row r="556" spans="1:9" ht="13" x14ac:dyDescent="0.25">
      <c r="A556" s="122" t="s">
        <v>1927</v>
      </c>
      <c r="B556" s="173"/>
      <c r="C556" s="173"/>
      <c r="D556" s="39"/>
      <c r="E556" s="166"/>
      <c r="F556" s="38" t="s">
        <v>1703</v>
      </c>
      <c r="G556" s="39"/>
      <c r="H556" s="104"/>
      <c r="I556" s="36"/>
    </row>
    <row r="557" spans="1:9" ht="25" x14ac:dyDescent="0.25">
      <c r="A557" s="121" t="s">
        <v>1933</v>
      </c>
      <c r="B557" s="167" t="s">
        <v>1928</v>
      </c>
      <c r="C557" s="248" t="s">
        <v>1929</v>
      </c>
      <c r="D557" s="39" t="s">
        <v>1931</v>
      </c>
      <c r="E557" s="166" t="s">
        <v>1932</v>
      </c>
      <c r="F557" s="38" t="s">
        <v>1934</v>
      </c>
      <c r="G557" s="39"/>
      <c r="H557" s="104"/>
      <c r="I557" s="36"/>
    </row>
    <row r="558" spans="1:9" ht="13" x14ac:dyDescent="0.25">
      <c r="A558" s="122" t="s">
        <v>1935</v>
      </c>
      <c r="B558" s="168"/>
      <c r="C558" s="249"/>
      <c r="D558" s="39"/>
      <c r="E558" s="166"/>
      <c r="F558" s="38" t="s">
        <v>1936</v>
      </c>
      <c r="G558" s="39"/>
      <c r="H558" s="104"/>
      <c r="I558" s="36"/>
    </row>
    <row r="559" spans="1:9" ht="13" x14ac:dyDescent="0.25">
      <c r="A559" s="121" t="s">
        <v>1937</v>
      </c>
      <c r="B559" s="168"/>
      <c r="C559" s="168"/>
      <c r="D559" s="39"/>
      <c r="E559" s="166"/>
      <c r="F559" s="38" t="s">
        <v>1938</v>
      </c>
      <c r="G559" s="39"/>
      <c r="H559" s="104"/>
      <c r="I559" s="36"/>
    </row>
    <row r="560" spans="1:9" ht="13" x14ac:dyDescent="0.25">
      <c r="A560" s="122" t="s">
        <v>1939</v>
      </c>
      <c r="B560" s="168"/>
      <c r="C560" s="168"/>
      <c r="D560" s="39"/>
      <c r="E560" s="166"/>
      <c r="F560" s="38" t="s">
        <v>1940</v>
      </c>
      <c r="G560" s="39"/>
      <c r="H560" s="104"/>
      <c r="I560" s="36"/>
    </row>
    <row r="561" spans="1:9" ht="13" x14ac:dyDescent="0.25">
      <c r="A561" s="121" t="s">
        <v>1941</v>
      </c>
      <c r="B561" s="168"/>
      <c r="C561" s="168"/>
      <c r="D561" s="39"/>
      <c r="E561" s="166"/>
      <c r="F561" s="38" t="s">
        <v>1942</v>
      </c>
      <c r="G561" s="39"/>
      <c r="H561" s="104"/>
      <c r="I561" s="36"/>
    </row>
    <row r="562" spans="1:9" ht="13" x14ac:dyDescent="0.25">
      <c r="A562" s="122" t="s">
        <v>1943</v>
      </c>
      <c r="B562" s="168"/>
      <c r="C562" s="168"/>
      <c r="D562" s="39"/>
      <c r="E562" s="166"/>
      <c r="F562" s="38" t="s">
        <v>1944</v>
      </c>
      <c r="G562" s="39"/>
      <c r="H562" s="104"/>
      <c r="I562" s="36"/>
    </row>
    <row r="563" spans="1:9" ht="13" x14ac:dyDescent="0.25">
      <c r="A563" s="121" t="s">
        <v>1945</v>
      </c>
      <c r="B563" s="168"/>
      <c r="C563" s="168"/>
      <c r="D563" s="39"/>
      <c r="E563" s="166"/>
      <c r="F563" s="38" t="s">
        <v>1946</v>
      </c>
      <c r="G563" s="39"/>
      <c r="H563" s="104"/>
      <c r="I563" s="36"/>
    </row>
    <row r="564" spans="1:9" ht="13" x14ac:dyDescent="0.25">
      <c r="A564" s="122" t="s">
        <v>1950</v>
      </c>
      <c r="B564" s="168"/>
      <c r="C564" s="168"/>
      <c r="D564" s="39" t="s">
        <v>1948</v>
      </c>
      <c r="E564" s="166" t="s">
        <v>1949</v>
      </c>
      <c r="F564" s="38" t="s">
        <v>1951</v>
      </c>
      <c r="G564" s="39"/>
      <c r="H564" s="104"/>
      <c r="I564" s="36"/>
    </row>
    <row r="565" spans="1:9" ht="13" x14ac:dyDescent="0.25">
      <c r="A565" s="121" t="s">
        <v>1952</v>
      </c>
      <c r="B565" s="168"/>
      <c r="C565" s="168"/>
      <c r="D565" s="39"/>
      <c r="E565" s="166"/>
      <c r="F565" s="38" t="s">
        <v>1953</v>
      </c>
      <c r="G565" s="39"/>
      <c r="H565" s="104"/>
      <c r="I565" s="36"/>
    </row>
    <row r="566" spans="1:9" ht="13" x14ac:dyDescent="0.25">
      <c r="A566" s="122" t="s">
        <v>1954</v>
      </c>
      <c r="B566" s="173"/>
      <c r="C566" s="173"/>
      <c r="D566" s="39"/>
      <c r="E566" s="166"/>
      <c r="F566" s="38" t="s">
        <v>1955</v>
      </c>
      <c r="G566" s="39"/>
      <c r="H566" s="104"/>
      <c r="I566" s="36"/>
    </row>
    <row r="567" spans="1:9" ht="37.5" x14ac:dyDescent="0.25">
      <c r="A567" s="121" t="s">
        <v>1960</v>
      </c>
      <c r="B567" s="167" t="s">
        <v>1956</v>
      </c>
      <c r="C567" s="167" t="s">
        <v>1957</v>
      </c>
      <c r="D567" s="39" t="s">
        <v>1959</v>
      </c>
      <c r="E567" s="166"/>
      <c r="F567" s="38" t="s">
        <v>1961</v>
      </c>
      <c r="G567" s="39"/>
      <c r="H567" s="104"/>
      <c r="I567" s="36"/>
    </row>
    <row r="568" spans="1:9" ht="13" x14ac:dyDescent="0.25">
      <c r="A568" s="122" t="s">
        <v>1962</v>
      </c>
      <c r="B568" s="168"/>
      <c r="C568" s="168"/>
      <c r="D568" s="39"/>
      <c r="E568" s="166"/>
      <c r="F568" s="38" t="s">
        <v>1934</v>
      </c>
      <c r="G568" s="39"/>
      <c r="H568" s="104"/>
      <c r="I568" s="36"/>
    </row>
    <row r="569" spans="1:9" ht="13" x14ac:dyDescent="0.25">
      <c r="A569" s="121" t="s">
        <v>1963</v>
      </c>
      <c r="B569" s="168"/>
      <c r="C569" s="168"/>
      <c r="D569" s="39"/>
      <c r="E569" s="166"/>
      <c r="F569" s="38" t="s">
        <v>1951</v>
      </c>
      <c r="G569" s="39"/>
      <c r="H569" s="104"/>
      <c r="I569" s="36"/>
    </row>
    <row r="570" spans="1:9" ht="13" x14ac:dyDescent="0.25">
      <c r="A570" s="122" t="s">
        <v>1964</v>
      </c>
      <c r="B570" s="168"/>
      <c r="C570" s="168"/>
      <c r="D570" s="39"/>
      <c r="E570" s="166"/>
      <c r="F570" s="38" t="s">
        <v>1686</v>
      </c>
      <c r="G570" s="39"/>
      <c r="H570" s="104"/>
      <c r="I570" s="36"/>
    </row>
    <row r="571" spans="1:9" ht="13" x14ac:dyDescent="0.25">
      <c r="A571" s="121" t="s">
        <v>1967</v>
      </c>
      <c r="B571" s="168"/>
      <c r="C571" s="168"/>
      <c r="D571" s="39" t="s">
        <v>1966</v>
      </c>
      <c r="E571" s="166"/>
      <c r="F571" s="38" t="s">
        <v>1968</v>
      </c>
      <c r="G571" s="39" t="s">
        <v>1969</v>
      </c>
      <c r="H571" s="104"/>
      <c r="I571" s="7"/>
    </row>
    <row r="572" spans="1:9" ht="13" x14ac:dyDescent="0.25">
      <c r="A572" s="122" t="s">
        <v>1970</v>
      </c>
      <c r="B572" s="168"/>
      <c r="C572" s="168"/>
      <c r="D572" s="39"/>
      <c r="E572" s="166"/>
      <c r="F572" s="38" t="s">
        <v>1259</v>
      </c>
      <c r="G572" s="39"/>
      <c r="H572" s="104"/>
      <c r="I572" s="7"/>
    </row>
    <row r="573" spans="1:9" ht="13" x14ac:dyDescent="0.25">
      <c r="A573" s="121" t="s">
        <v>1973</v>
      </c>
      <c r="B573" s="168"/>
      <c r="C573" s="168"/>
      <c r="D573" s="39" t="s">
        <v>1972</v>
      </c>
      <c r="E573" s="166"/>
      <c r="F573" s="38" t="s">
        <v>1061</v>
      </c>
      <c r="G573" s="39"/>
      <c r="H573" s="104"/>
      <c r="I573" s="7"/>
    </row>
    <row r="574" spans="1:9" ht="13" x14ac:dyDescent="0.25">
      <c r="A574" s="122" t="s">
        <v>1974</v>
      </c>
      <c r="B574" s="168"/>
      <c r="C574" s="168"/>
      <c r="D574" s="39"/>
      <c r="E574" s="166"/>
      <c r="F574" s="38" t="s">
        <v>650</v>
      </c>
      <c r="G574" s="39"/>
      <c r="H574" s="104"/>
      <c r="I574" s="7"/>
    </row>
    <row r="575" spans="1:9" ht="13" x14ac:dyDescent="0.25">
      <c r="A575" s="121" t="s">
        <v>1979</v>
      </c>
      <c r="B575" s="167" t="s">
        <v>1975</v>
      </c>
      <c r="C575" s="169" t="s">
        <v>1976</v>
      </c>
      <c r="D575" s="39" t="s">
        <v>1978</v>
      </c>
      <c r="E575" s="166"/>
      <c r="F575" s="38" t="s">
        <v>1980</v>
      </c>
      <c r="G575" s="39"/>
      <c r="H575" s="104"/>
      <c r="I575" s="7"/>
    </row>
    <row r="576" spans="1:9" ht="13" x14ac:dyDescent="0.25">
      <c r="A576" s="122" t="s">
        <v>1981</v>
      </c>
      <c r="B576" s="168"/>
      <c r="C576" s="170"/>
      <c r="D576" s="39"/>
      <c r="E576" s="166"/>
      <c r="F576" s="38" t="s">
        <v>1982</v>
      </c>
      <c r="G576" s="39"/>
      <c r="H576" s="104"/>
      <c r="I576" s="7"/>
    </row>
    <row r="577" spans="1:9" ht="13" x14ac:dyDescent="0.25">
      <c r="A577" s="121" t="s">
        <v>1983</v>
      </c>
      <c r="B577" s="168"/>
      <c r="C577" s="170"/>
      <c r="D577" s="39"/>
      <c r="E577" s="166"/>
      <c r="F577" s="38" t="s">
        <v>1220</v>
      </c>
      <c r="G577" s="39"/>
      <c r="H577" s="104"/>
      <c r="I577" s="7"/>
    </row>
    <row r="578" spans="1:9" ht="13" x14ac:dyDescent="0.25">
      <c r="A578" s="122" t="s">
        <v>1984</v>
      </c>
      <c r="B578" s="168"/>
      <c r="C578" s="170"/>
      <c r="D578" s="39"/>
      <c r="E578" s="166"/>
      <c r="F578" s="38" t="s">
        <v>1985</v>
      </c>
      <c r="G578" s="39"/>
      <c r="H578" s="105"/>
      <c r="I578" s="61"/>
    </row>
    <row r="579" spans="1:9" ht="13" x14ac:dyDescent="0.25">
      <c r="A579" s="121" t="s">
        <v>1991</v>
      </c>
      <c r="B579" s="167" t="s">
        <v>1986</v>
      </c>
      <c r="C579" s="248" t="s">
        <v>1987</v>
      </c>
      <c r="D579" s="39" t="s">
        <v>1989</v>
      </c>
      <c r="E579" s="166" t="s">
        <v>1990</v>
      </c>
      <c r="F579" s="38" t="s">
        <v>644</v>
      </c>
      <c r="G579" s="39"/>
      <c r="H579" s="42" t="s">
        <v>193</v>
      </c>
      <c r="I579" s="43" t="s">
        <v>196</v>
      </c>
    </row>
    <row r="580" spans="1:9" ht="13" x14ac:dyDescent="0.25">
      <c r="A580" s="122" t="s">
        <v>1992</v>
      </c>
      <c r="B580" s="168"/>
      <c r="C580" s="249"/>
      <c r="D580" s="39"/>
      <c r="E580" s="166"/>
      <c r="F580" s="38" t="s">
        <v>646</v>
      </c>
      <c r="G580" s="39"/>
      <c r="H580" s="44"/>
      <c r="I580" s="43" t="s">
        <v>199</v>
      </c>
    </row>
    <row r="581" spans="1:9" ht="13" x14ac:dyDescent="0.25">
      <c r="A581" s="121" t="s">
        <v>1993</v>
      </c>
      <c r="B581" s="168"/>
      <c r="C581" s="249"/>
      <c r="D581" s="39"/>
      <c r="E581" s="166"/>
      <c r="F581" s="38" t="s">
        <v>650</v>
      </c>
      <c r="G581" s="39"/>
      <c r="H581" s="44"/>
      <c r="I581" s="43" t="s">
        <v>202</v>
      </c>
    </row>
    <row r="582" spans="1:9" ht="13" x14ac:dyDescent="0.25">
      <c r="A582" s="122" t="s">
        <v>1995</v>
      </c>
      <c r="B582" s="168"/>
      <c r="C582" s="249"/>
      <c r="D582" s="39" t="s">
        <v>1900</v>
      </c>
      <c r="E582" s="166"/>
      <c r="F582" s="38" t="s">
        <v>684</v>
      </c>
      <c r="G582" s="39"/>
      <c r="H582" s="103"/>
      <c r="I582" s="43" t="s">
        <v>205</v>
      </c>
    </row>
    <row r="583" spans="1:9" ht="13" x14ac:dyDescent="0.25">
      <c r="A583" s="121" t="s">
        <v>1996</v>
      </c>
      <c r="B583" s="168"/>
      <c r="C583" s="170"/>
      <c r="D583" s="39"/>
      <c r="E583" s="166"/>
      <c r="F583" s="38" t="s">
        <v>652</v>
      </c>
      <c r="G583" s="39"/>
      <c r="H583" s="103"/>
      <c r="I583" s="62" t="s">
        <v>208</v>
      </c>
    </row>
    <row r="584" spans="1:9" ht="25" x14ac:dyDescent="0.25">
      <c r="A584" s="122" t="s">
        <v>1999</v>
      </c>
      <c r="B584" s="168"/>
      <c r="C584" s="170"/>
      <c r="D584" s="39" t="s">
        <v>1998</v>
      </c>
      <c r="E584" s="166"/>
      <c r="F584" s="38" t="s">
        <v>2000</v>
      </c>
      <c r="G584" s="39" t="s">
        <v>2001</v>
      </c>
      <c r="H584" s="103"/>
      <c r="I584" s="62" t="s">
        <v>211</v>
      </c>
    </row>
    <row r="585" spans="1:9" ht="25.5" x14ac:dyDescent="0.3">
      <c r="A585" s="121" t="s">
        <v>2003</v>
      </c>
      <c r="B585" s="168"/>
      <c r="C585" s="170"/>
      <c r="D585" s="39" t="s">
        <v>689</v>
      </c>
      <c r="E585" s="166"/>
      <c r="F585" s="127" t="s">
        <v>694</v>
      </c>
      <c r="G585" s="39" t="s">
        <v>692</v>
      </c>
      <c r="H585" s="103"/>
      <c r="I585" s="62" t="s">
        <v>214</v>
      </c>
    </row>
    <row r="586" spans="1:9" ht="25.5" x14ac:dyDescent="0.3">
      <c r="A586" s="122" t="s">
        <v>2005</v>
      </c>
      <c r="B586" s="173"/>
      <c r="C586" s="171"/>
      <c r="D586" s="39" t="s">
        <v>696</v>
      </c>
      <c r="E586" s="166"/>
      <c r="F586" s="127" t="s">
        <v>694</v>
      </c>
      <c r="G586" s="39" t="s">
        <v>692</v>
      </c>
      <c r="H586" s="103"/>
      <c r="I586" s="43"/>
    </row>
    <row r="587" spans="1:9" ht="25" x14ac:dyDescent="0.25">
      <c r="A587" s="121" t="s">
        <v>2008</v>
      </c>
      <c r="B587" s="167" t="s">
        <v>673</v>
      </c>
      <c r="C587" s="169"/>
      <c r="D587" s="39" t="s">
        <v>676</v>
      </c>
      <c r="E587" s="166" t="s">
        <v>2007</v>
      </c>
      <c r="F587" s="38" t="s">
        <v>644</v>
      </c>
      <c r="G587" s="39"/>
      <c r="H587" s="103"/>
      <c r="I587" s="43"/>
    </row>
    <row r="588" spans="1:9" ht="13" x14ac:dyDescent="0.25">
      <c r="A588" s="122" t="s">
        <v>2009</v>
      </c>
      <c r="B588" s="168"/>
      <c r="C588" s="170"/>
      <c r="D588" s="39"/>
      <c r="E588" s="166"/>
      <c r="F588" s="38" t="s">
        <v>646</v>
      </c>
      <c r="G588" s="39"/>
      <c r="H588" s="103"/>
      <c r="I588" s="43"/>
    </row>
    <row r="589" spans="1:9" ht="13" x14ac:dyDescent="0.25">
      <c r="A589" s="121" t="s">
        <v>2010</v>
      </c>
      <c r="B589" s="168"/>
      <c r="C589" s="170"/>
      <c r="D589" s="39"/>
      <c r="E589" s="166"/>
      <c r="F589" s="38" t="s">
        <v>650</v>
      </c>
      <c r="G589" s="39"/>
      <c r="H589" s="103"/>
      <c r="I589" s="43"/>
    </row>
    <row r="590" spans="1:9" ht="25" x14ac:dyDescent="0.25">
      <c r="A590" s="122" t="s">
        <v>2013</v>
      </c>
      <c r="B590" s="168"/>
      <c r="C590" s="170"/>
      <c r="D590" s="39" t="s">
        <v>682</v>
      </c>
      <c r="E590" s="166" t="s">
        <v>2012</v>
      </c>
      <c r="F590" s="38" t="s">
        <v>684</v>
      </c>
      <c r="G590" s="39"/>
      <c r="H590" s="103"/>
      <c r="I590" s="43"/>
    </row>
    <row r="591" spans="1:9" ht="13" x14ac:dyDescent="0.25">
      <c r="A591" s="121" t="s">
        <v>2014</v>
      </c>
      <c r="B591" s="168"/>
      <c r="C591" s="170"/>
      <c r="D591" s="39"/>
      <c r="E591" s="166"/>
      <c r="F591" s="38" t="s">
        <v>652</v>
      </c>
      <c r="G591" s="39"/>
      <c r="H591" s="103"/>
      <c r="I591" s="43"/>
    </row>
    <row r="592" spans="1:9" ht="25.5" x14ac:dyDescent="0.3">
      <c r="A592" s="122" t="s">
        <v>2016</v>
      </c>
      <c r="B592" s="168"/>
      <c r="C592" s="170"/>
      <c r="D592" s="39" t="s">
        <v>689</v>
      </c>
      <c r="E592" s="166"/>
      <c r="F592" s="127" t="s">
        <v>694</v>
      </c>
      <c r="G592" s="39" t="s">
        <v>692</v>
      </c>
      <c r="H592" s="103"/>
      <c r="I592" s="43"/>
    </row>
    <row r="593" spans="1:9" ht="25.5" x14ac:dyDescent="0.3">
      <c r="A593" s="121" t="s">
        <v>2018</v>
      </c>
      <c r="B593" s="173"/>
      <c r="C593" s="171"/>
      <c r="D593" s="39" t="s">
        <v>696</v>
      </c>
      <c r="E593" s="166"/>
      <c r="F593" s="127" t="s">
        <v>694</v>
      </c>
      <c r="G593" s="39" t="s">
        <v>692</v>
      </c>
      <c r="H593" s="103"/>
      <c r="I593" s="43"/>
    </row>
    <row r="594" spans="1:9" ht="13" x14ac:dyDescent="0.25">
      <c r="A594" s="122" t="s">
        <v>2023</v>
      </c>
      <c r="B594" s="167" t="s">
        <v>2019</v>
      </c>
      <c r="C594" s="248" t="s">
        <v>2020</v>
      </c>
      <c r="D594" s="39" t="s">
        <v>2022</v>
      </c>
      <c r="E594" s="166"/>
      <c r="F594" s="38" t="s">
        <v>2024</v>
      </c>
      <c r="G594" s="39"/>
      <c r="H594" s="103"/>
      <c r="I594" s="43"/>
    </row>
    <row r="595" spans="1:9" ht="13" x14ac:dyDescent="0.25">
      <c r="A595" s="121" t="s">
        <v>2025</v>
      </c>
      <c r="B595" s="168"/>
      <c r="C595" s="249"/>
      <c r="D595" s="39"/>
      <c r="E595" s="166"/>
      <c r="F595" s="38" t="s">
        <v>684</v>
      </c>
      <c r="G595" s="39"/>
      <c r="H595" s="103"/>
      <c r="I595" s="43"/>
    </row>
    <row r="596" spans="1:9" ht="13" x14ac:dyDescent="0.25">
      <c r="A596" s="122" t="s">
        <v>2026</v>
      </c>
      <c r="B596" s="168"/>
      <c r="C596" s="249"/>
      <c r="D596" s="39"/>
      <c r="E596" s="166"/>
      <c r="F596" s="38" t="s">
        <v>1414</v>
      </c>
      <c r="G596" s="39"/>
      <c r="H596" s="103"/>
      <c r="I596" s="43"/>
    </row>
    <row r="597" spans="1:9" ht="13" x14ac:dyDescent="0.25">
      <c r="A597" s="121" t="s">
        <v>2027</v>
      </c>
      <c r="B597" s="168"/>
      <c r="C597" s="249"/>
      <c r="D597" s="39"/>
      <c r="E597" s="166"/>
      <c r="F597" s="38" t="s">
        <v>2028</v>
      </c>
      <c r="G597" s="39"/>
      <c r="H597" s="103"/>
      <c r="I597" s="43"/>
    </row>
    <row r="598" spans="1:9" ht="13" x14ac:dyDescent="0.25">
      <c r="A598" s="122" t="s">
        <v>2030</v>
      </c>
      <c r="B598" s="168"/>
      <c r="C598" s="249"/>
      <c r="D598" s="39" t="s">
        <v>689</v>
      </c>
      <c r="E598" s="166"/>
      <c r="F598" s="38" t="s">
        <v>2031</v>
      </c>
      <c r="G598" s="39"/>
      <c r="H598" s="103"/>
      <c r="I598" s="43"/>
    </row>
    <row r="599" spans="1:9" ht="25.5" x14ac:dyDescent="0.3">
      <c r="A599" s="121" t="s">
        <v>2032</v>
      </c>
      <c r="B599" s="168"/>
      <c r="C599" s="249"/>
      <c r="D599" s="39"/>
      <c r="E599" s="166"/>
      <c r="F599" s="127" t="s">
        <v>694</v>
      </c>
      <c r="G599" s="39" t="s">
        <v>692</v>
      </c>
      <c r="H599" s="103"/>
      <c r="I599" s="43"/>
    </row>
    <row r="600" spans="1:9" ht="13" x14ac:dyDescent="0.25">
      <c r="A600" s="122" t="s">
        <v>2034</v>
      </c>
      <c r="B600" s="168"/>
      <c r="C600" s="249"/>
      <c r="D600" s="39" t="s">
        <v>696</v>
      </c>
      <c r="E600" s="166"/>
      <c r="F600" s="38" t="s">
        <v>2035</v>
      </c>
      <c r="G600" s="39"/>
      <c r="H600" s="103"/>
      <c r="I600" s="43"/>
    </row>
    <row r="601" spans="1:9" ht="25.5" x14ac:dyDescent="0.3">
      <c r="A601" s="121" t="s">
        <v>2036</v>
      </c>
      <c r="B601" s="168"/>
      <c r="C601" s="249"/>
      <c r="D601" s="39"/>
      <c r="E601" s="166"/>
      <c r="F601" s="127" t="s">
        <v>694</v>
      </c>
      <c r="G601" s="39" t="s">
        <v>692</v>
      </c>
      <c r="H601" s="103"/>
      <c r="I601" s="43"/>
    </row>
    <row r="602" spans="1:9" ht="13" x14ac:dyDescent="0.25">
      <c r="A602" s="122" t="s">
        <v>2039</v>
      </c>
      <c r="B602" s="168"/>
      <c r="C602" s="249"/>
      <c r="D602" s="39" t="s">
        <v>2038</v>
      </c>
      <c r="E602" s="166"/>
      <c r="F602" s="38" t="s">
        <v>1061</v>
      </c>
      <c r="G602" s="39"/>
      <c r="H602" s="103"/>
      <c r="I602" s="43"/>
    </row>
    <row r="603" spans="1:9" ht="13" x14ac:dyDescent="0.25">
      <c r="A603" s="121" t="s">
        <v>2040</v>
      </c>
      <c r="B603" s="168"/>
      <c r="C603" s="170"/>
      <c r="D603" s="39"/>
      <c r="E603" s="166"/>
      <c r="F603" s="38" t="s">
        <v>650</v>
      </c>
      <c r="G603" s="39"/>
      <c r="H603" s="103"/>
      <c r="I603" s="43"/>
    </row>
    <row r="604" spans="1:9" ht="13" x14ac:dyDescent="0.25">
      <c r="A604" s="122" t="s">
        <v>2041</v>
      </c>
      <c r="B604" s="168"/>
      <c r="C604" s="170"/>
      <c r="D604" s="39"/>
      <c r="E604" s="166"/>
      <c r="F604" s="38" t="s">
        <v>684</v>
      </c>
      <c r="G604" s="39"/>
      <c r="H604" s="103"/>
      <c r="I604" s="43"/>
    </row>
    <row r="605" spans="1:9" ht="13" x14ac:dyDescent="0.25">
      <c r="A605" s="121" t="s">
        <v>2042</v>
      </c>
      <c r="B605" s="173"/>
      <c r="C605" s="171"/>
      <c r="D605" s="39"/>
      <c r="E605" s="166"/>
      <c r="F605" s="38" t="s">
        <v>1414</v>
      </c>
      <c r="G605" s="39"/>
      <c r="H605" s="103"/>
      <c r="I605" s="43"/>
    </row>
    <row r="606" spans="1:9" ht="13" x14ac:dyDescent="0.3">
      <c r="A606" s="122" t="s">
        <v>2046</v>
      </c>
      <c r="B606" s="167" t="s">
        <v>2043</v>
      </c>
      <c r="C606" s="248" t="s">
        <v>2044</v>
      </c>
      <c r="D606" s="39" t="s">
        <v>1263</v>
      </c>
      <c r="E606" s="166"/>
      <c r="F606" s="127" t="s">
        <v>2047</v>
      </c>
      <c r="G606" s="39" t="s">
        <v>2048</v>
      </c>
      <c r="H606" s="103"/>
      <c r="I606" s="62"/>
    </row>
    <row r="607" spans="1:9" ht="13" x14ac:dyDescent="0.3">
      <c r="A607" s="121" t="s">
        <v>2051</v>
      </c>
      <c r="B607" s="173"/>
      <c r="C607" s="250"/>
      <c r="D607" s="39" t="s">
        <v>2050</v>
      </c>
      <c r="E607" s="166"/>
      <c r="F607" s="127" t="s">
        <v>2047</v>
      </c>
      <c r="G607" s="39" t="s">
        <v>2048</v>
      </c>
      <c r="H607" s="103"/>
      <c r="I607" s="63"/>
    </row>
    <row r="608" spans="1:9" ht="13" x14ac:dyDescent="0.25">
      <c r="A608" s="122" t="s">
        <v>2056</v>
      </c>
      <c r="B608" s="167" t="s">
        <v>2052</v>
      </c>
      <c r="C608" s="248" t="s">
        <v>2053</v>
      </c>
      <c r="D608" s="39" t="s">
        <v>2055</v>
      </c>
      <c r="E608" s="166"/>
      <c r="F608" s="38" t="s">
        <v>1934</v>
      </c>
      <c r="G608" s="39"/>
      <c r="H608" s="103"/>
      <c r="I608" s="62"/>
    </row>
    <row r="609" spans="1:9" ht="13" x14ac:dyDescent="0.25">
      <c r="A609" s="121" t="s">
        <v>2057</v>
      </c>
      <c r="B609" s="168"/>
      <c r="C609" s="249"/>
      <c r="D609" s="39"/>
      <c r="E609" s="166"/>
      <c r="F609" s="38" t="s">
        <v>1936</v>
      </c>
      <c r="G609" s="39"/>
      <c r="H609" s="103"/>
      <c r="I609" s="64"/>
    </row>
    <row r="610" spans="1:9" ht="13" x14ac:dyDescent="0.25">
      <c r="A610" s="122" t="s">
        <v>2058</v>
      </c>
      <c r="B610" s="168"/>
      <c r="C610" s="249"/>
      <c r="D610" s="39"/>
      <c r="E610" s="166"/>
      <c r="F610" s="38" t="s">
        <v>1137</v>
      </c>
      <c r="G610" s="39"/>
      <c r="H610" s="103"/>
      <c r="I610" s="64"/>
    </row>
    <row r="611" spans="1:9" ht="13" x14ac:dyDescent="0.25">
      <c r="A611" s="121" t="s">
        <v>2059</v>
      </c>
      <c r="B611" s="168"/>
      <c r="C611" s="170"/>
      <c r="D611" s="39"/>
      <c r="E611" s="166"/>
      <c r="F611" s="38" t="s">
        <v>67</v>
      </c>
      <c r="G611" s="39" t="s">
        <v>2060</v>
      </c>
      <c r="H611" s="103"/>
      <c r="I611" s="64"/>
    </row>
    <row r="612" spans="1:9" ht="13" x14ac:dyDescent="0.3">
      <c r="A612" s="122" t="s">
        <v>2063</v>
      </c>
      <c r="B612" s="173"/>
      <c r="C612" s="171"/>
      <c r="D612" s="39" t="s">
        <v>2062</v>
      </c>
      <c r="E612" s="166"/>
      <c r="F612" s="127" t="s">
        <v>2047</v>
      </c>
      <c r="G612" s="39" t="s">
        <v>2048</v>
      </c>
      <c r="H612" s="103"/>
      <c r="I612" s="63"/>
    </row>
    <row r="613" spans="1:9" ht="25.5" x14ac:dyDescent="0.3">
      <c r="A613" s="121" t="s">
        <v>2066</v>
      </c>
      <c r="B613" s="167" t="s">
        <v>1389</v>
      </c>
      <c r="C613" s="248" t="s">
        <v>2064</v>
      </c>
      <c r="D613" s="39" t="s">
        <v>1392</v>
      </c>
      <c r="E613" s="166"/>
      <c r="F613" s="127" t="s">
        <v>2047</v>
      </c>
      <c r="G613" s="39" t="s">
        <v>2067</v>
      </c>
      <c r="H613" s="48" t="s">
        <v>217</v>
      </c>
      <c r="I613" s="40" t="s">
        <v>2590</v>
      </c>
    </row>
    <row r="614" spans="1:9" ht="13" x14ac:dyDescent="0.3">
      <c r="A614" s="122" t="s">
        <v>2069</v>
      </c>
      <c r="B614" s="168"/>
      <c r="C614" s="249"/>
      <c r="D614" s="39" t="s">
        <v>733</v>
      </c>
      <c r="E614" s="166"/>
      <c r="F614" s="127" t="s">
        <v>2047</v>
      </c>
      <c r="G614" s="39" t="s">
        <v>2067</v>
      </c>
      <c r="H614" s="104"/>
      <c r="I614" s="36" t="s">
        <v>226</v>
      </c>
    </row>
    <row r="615" spans="1:9" ht="13" x14ac:dyDescent="0.3">
      <c r="A615" s="121" t="s">
        <v>2071</v>
      </c>
      <c r="B615" s="168"/>
      <c r="C615" s="249"/>
      <c r="D615" s="39" t="s">
        <v>932</v>
      </c>
      <c r="E615" s="166"/>
      <c r="F615" s="127" t="s">
        <v>2047</v>
      </c>
      <c r="G615" s="39" t="s">
        <v>2067</v>
      </c>
      <c r="H615" s="104"/>
      <c r="I615" s="36" t="s">
        <v>229</v>
      </c>
    </row>
    <row r="616" spans="1:9" ht="13" x14ac:dyDescent="0.3">
      <c r="A616" s="122" t="s">
        <v>2073</v>
      </c>
      <c r="B616" s="173"/>
      <c r="C616" s="171"/>
      <c r="D616" s="39" t="s">
        <v>1406</v>
      </c>
      <c r="E616" s="166"/>
      <c r="F616" s="127" t="s">
        <v>2047</v>
      </c>
      <c r="G616" s="39" t="s">
        <v>2067</v>
      </c>
      <c r="H616" s="104"/>
      <c r="I616" s="36" t="s">
        <v>232</v>
      </c>
    </row>
    <row r="617" spans="1:9" ht="13" x14ac:dyDescent="0.25">
      <c r="A617" s="121" t="s">
        <v>2078</v>
      </c>
      <c r="B617" s="167" t="s">
        <v>2074</v>
      </c>
      <c r="C617" s="248" t="s">
        <v>2075</v>
      </c>
      <c r="D617" s="39" t="s">
        <v>2077</v>
      </c>
      <c r="E617" s="166"/>
      <c r="F617" s="38" t="s">
        <v>2079</v>
      </c>
      <c r="G617" s="39"/>
      <c r="H617" s="108" t="s">
        <v>235</v>
      </c>
      <c r="I617" s="43" t="s">
        <v>238</v>
      </c>
    </row>
    <row r="618" spans="1:9" ht="13" x14ac:dyDescent="0.25">
      <c r="A618" s="122" t="s">
        <v>2080</v>
      </c>
      <c r="B618" s="168"/>
      <c r="C618" s="249"/>
      <c r="D618" s="39"/>
      <c r="E618" s="166"/>
      <c r="F618" s="38" t="s">
        <v>2081</v>
      </c>
      <c r="G618" s="39"/>
      <c r="H618" s="103"/>
      <c r="I618" s="43" t="s">
        <v>241</v>
      </c>
    </row>
    <row r="619" spans="1:9" ht="13" x14ac:dyDescent="0.25">
      <c r="A619" s="121" t="s">
        <v>2082</v>
      </c>
      <c r="B619" s="168"/>
      <c r="C619" s="170"/>
      <c r="D619" s="39"/>
      <c r="E619" s="166"/>
      <c r="F619" s="38" t="s">
        <v>650</v>
      </c>
      <c r="G619" s="39"/>
      <c r="H619" s="103"/>
      <c r="I619" s="43" t="s">
        <v>244</v>
      </c>
    </row>
    <row r="620" spans="1:9" ht="13" x14ac:dyDescent="0.25">
      <c r="A620" s="122" t="s">
        <v>2085</v>
      </c>
      <c r="B620" s="168"/>
      <c r="C620" s="170"/>
      <c r="D620" s="39" t="s">
        <v>1900</v>
      </c>
      <c r="E620" s="166" t="s">
        <v>2084</v>
      </c>
      <c r="F620" s="38" t="s">
        <v>652</v>
      </c>
      <c r="G620" s="39"/>
      <c r="H620" s="103"/>
      <c r="I620" s="43" t="s">
        <v>247</v>
      </c>
    </row>
    <row r="621" spans="1:9" ht="13" x14ac:dyDescent="0.25">
      <c r="A621" s="121" t="s">
        <v>2089</v>
      </c>
      <c r="B621" s="167" t="s">
        <v>2086</v>
      </c>
      <c r="C621" s="248" t="s">
        <v>2087</v>
      </c>
      <c r="D621" s="39" t="s">
        <v>2077</v>
      </c>
      <c r="E621" s="166"/>
      <c r="F621" s="38" t="s">
        <v>2079</v>
      </c>
      <c r="G621" s="39"/>
      <c r="H621" s="103"/>
      <c r="I621" s="43" t="s">
        <v>250</v>
      </c>
    </row>
    <row r="622" spans="1:9" ht="13" x14ac:dyDescent="0.25">
      <c r="A622" s="122" t="s">
        <v>2090</v>
      </c>
      <c r="B622" s="168"/>
      <c r="C622" s="249"/>
      <c r="D622" s="39"/>
      <c r="E622" s="166"/>
      <c r="F622" s="38" t="s">
        <v>2081</v>
      </c>
      <c r="G622" s="39"/>
      <c r="H622" s="103"/>
      <c r="I622" s="43" t="s">
        <v>253</v>
      </c>
    </row>
    <row r="623" spans="1:9" ht="13" x14ac:dyDescent="0.25">
      <c r="A623" s="121" t="s">
        <v>2091</v>
      </c>
      <c r="B623" s="168"/>
      <c r="C623" s="249"/>
      <c r="D623" s="39"/>
      <c r="E623" s="166"/>
      <c r="F623" s="38" t="s">
        <v>650</v>
      </c>
      <c r="G623" s="39"/>
      <c r="H623" s="103"/>
      <c r="I623" s="43" t="s">
        <v>256</v>
      </c>
    </row>
    <row r="624" spans="1:9" ht="25" x14ac:dyDescent="0.25">
      <c r="A624" s="122" t="s">
        <v>2094</v>
      </c>
      <c r="B624" s="168"/>
      <c r="C624" s="250"/>
      <c r="D624" s="39" t="s">
        <v>2093</v>
      </c>
      <c r="E624" s="166" t="s">
        <v>2012</v>
      </c>
      <c r="F624" s="38" t="s">
        <v>652</v>
      </c>
      <c r="G624" s="39"/>
      <c r="H624" s="103"/>
      <c r="I624" s="43" t="s">
        <v>259</v>
      </c>
    </row>
    <row r="625" spans="1:9" ht="13" x14ac:dyDescent="0.25">
      <c r="A625" s="121" t="s">
        <v>2098</v>
      </c>
      <c r="B625" s="167" t="s">
        <v>2095</v>
      </c>
      <c r="C625" s="243" t="s">
        <v>2096</v>
      </c>
      <c r="D625" s="39" t="s">
        <v>2077</v>
      </c>
      <c r="E625" s="166"/>
      <c r="F625" s="38" t="s">
        <v>1934</v>
      </c>
      <c r="G625" s="39"/>
      <c r="H625" s="103"/>
      <c r="I625" s="43" t="s">
        <v>262</v>
      </c>
    </row>
    <row r="626" spans="1:9" ht="13" x14ac:dyDescent="0.25">
      <c r="A626" s="122" t="s">
        <v>2099</v>
      </c>
      <c r="B626" s="168"/>
      <c r="C626" s="244"/>
      <c r="D626" s="39"/>
      <c r="E626" s="166"/>
      <c r="F626" s="38" t="s">
        <v>1936</v>
      </c>
      <c r="G626" s="39"/>
      <c r="H626" s="103"/>
      <c r="I626" s="43" t="s">
        <v>265</v>
      </c>
    </row>
    <row r="627" spans="1:9" ht="13" x14ac:dyDescent="0.25">
      <c r="A627" s="121" t="s">
        <v>2100</v>
      </c>
      <c r="B627" s="168"/>
      <c r="C627" s="170"/>
      <c r="D627" s="39"/>
      <c r="E627" s="166"/>
      <c r="F627" s="38" t="s">
        <v>2081</v>
      </c>
      <c r="G627" s="39"/>
      <c r="H627" s="103"/>
      <c r="I627" s="43"/>
    </row>
    <row r="628" spans="1:9" ht="13" x14ac:dyDescent="0.25">
      <c r="A628" s="122" t="s">
        <v>2101</v>
      </c>
      <c r="B628" s="168"/>
      <c r="C628" s="170"/>
      <c r="D628" s="39"/>
      <c r="E628" s="166"/>
      <c r="F628" s="38" t="s">
        <v>2102</v>
      </c>
      <c r="G628" s="39"/>
      <c r="H628" s="103"/>
      <c r="I628" s="43"/>
    </row>
    <row r="629" spans="1:9" ht="13" x14ac:dyDescent="0.25">
      <c r="A629" s="121" t="s">
        <v>2103</v>
      </c>
      <c r="B629" s="168"/>
      <c r="C629" s="170"/>
      <c r="D629" s="39"/>
      <c r="E629" s="166"/>
      <c r="F629" s="38" t="s">
        <v>1759</v>
      </c>
      <c r="G629" s="39"/>
      <c r="H629" s="103"/>
      <c r="I629" s="43"/>
    </row>
    <row r="630" spans="1:9" ht="13" x14ac:dyDescent="0.25">
      <c r="A630" s="122" t="s">
        <v>2104</v>
      </c>
      <c r="B630" s="168"/>
      <c r="C630" s="170"/>
      <c r="D630" s="39"/>
      <c r="E630" s="166"/>
      <c r="F630" s="38" t="s">
        <v>2105</v>
      </c>
      <c r="G630" s="39"/>
      <c r="H630" s="103"/>
      <c r="I630" s="43"/>
    </row>
    <row r="631" spans="1:9" ht="13" x14ac:dyDescent="0.25">
      <c r="A631" s="121" t="s">
        <v>2106</v>
      </c>
      <c r="B631" s="168"/>
      <c r="C631" s="170"/>
      <c r="D631" s="39"/>
      <c r="E631" s="166"/>
      <c r="F631" s="38" t="s">
        <v>2107</v>
      </c>
      <c r="G631" s="39"/>
      <c r="H631" s="103"/>
      <c r="I631" s="43"/>
    </row>
    <row r="632" spans="1:9" ht="13" x14ac:dyDescent="0.25">
      <c r="A632" s="122" t="s">
        <v>2108</v>
      </c>
      <c r="B632" s="168"/>
      <c r="C632" s="170"/>
      <c r="D632" s="39"/>
      <c r="E632" s="166"/>
      <c r="F632" s="38" t="s">
        <v>870</v>
      </c>
      <c r="G632" s="39"/>
      <c r="H632" s="103"/>
      <c r="I632" s="43"/>
    </row>
    <row r="633" spans="1:9" ht="13" x14ac:dyDescent="0.25">
      <c r="A633" s="121" t="s">
        <v>2112</v>
      </c>
      <c r="B633" s="168"/>
      <c r="C633" s="170"/>
      <c r="D633" s="39" t="s">
        <v>2110</v>
      </c>
      <c r="E633" s="254" t="s">
        <v>2111</v>
      </c>
      <c r="F633" s="38" t="s">
        <v>2113</v>
      </c>
      <c r="G633" s="39"/>
      <c r="H633" s="103"/>
      <c r="I633" s="43"/>
    </row>
    <row r="634" spans="1:9" ht="13" x14ac:dyDescent="0.25">
      <c r="A634" s="122" t="s">
        <v>2114</v>
      </c>
      <c r="B634" s="168"/>
      <c r="C634" s="170"/>
      <c r="D634" s="39"/>
      <c r="E634" s="254"/>
      <c r="F634" s="38" t="s">
        <v>2115</v>
      </c>
      <c r="G634" s="39"/>
      <c r="H634" s="103"/>
      <c r="I634" s="43"/>
    </row>
    <row r="635" spans="1:9" ht="13" x14ac:dyDescent="0.25">
      <c r="A635" s="121" t="s">
        <v>2116</v>
      </c>
      <c r="B635" s="168"/>
      <c r="C635" s="170"/>
      <c r="D635" s="39"/>
      <c r="E635" s="254"/>
      <c r="F635" s="38" t="s">
        <v>2117</v>
      </c>
      <c r="G635" s="39" t="s">
        <v>2118</v>
      </c>
      <c r="H635" s="103"/>
      <c r="I635" s="43"/>
    </row>
    <row r="636" spans="1:9" ht="13" x14ac:dyDescent="0.25">
      <c r="A636" s="122" t="s">
        <v>2119</v>
      </c>
      <c r="B636" s="168"/>
      <c r="C636" s="170"/>
      <c r="D636" s="39"/>
      <c r="E636" s="254"/>
      <c r="F636" s="38" t="s">
        <v>2120</v>
      </c>
      <c r="G636" s="39"/>
      <c r="H636" s="103"/>
      <c r="I636" s="43"/>
    </row>
    <row r="637" spans="1:9" ht="13" x14ac:dyDescent="0.25">
      <c r="A637" s="121" t="s">
        <v>2121</v>
      </c>
      <c r="B637" s="168"/>
      <c r="C637" s="170"/>
      <c r="D637" s="39"/>
      <c r="E637" s="166"/>
      <c r="F637" s="38" t="s">
        <v>2122</v>
      </c>
      <c r="G637" s="39"/>
      <c r="H637" s="103"/>
      <c r="I637" s="43"/>
    </row>
    <row r="638" spans="1:9" ht="13" x14ac:dyDescent="0.25">
      <c r="A638" s="122" t="s">
        <v>2125</v>
      </c>
      <c r="B638" s="168"/>
      <c r="C638" s="170"/>
      <c r="D638" s="39" t="s">
        <v>2124</v>
      </c>
      <c r="E638" s="166"/>
      <c r="F638" s="38" t="s">
        <v>2126</v>
      </c>
      <c r="G638" s="39"/>
      <c r="H638" s="103"/>
      <c r="I638" s="43"/>
    </row>
    <row r="639" spans="1:9" ht="13" x14ac:dyDescent="0.25">
      <c r="A639" s="121" t="s">
        <v>2127</v>
      </c>
      <c r="B639" s="168"/>
      <c r="C639" s="170"/>
      <c r="D639" s="39"/>
      <c r="E639" s="166"/>
      <c r="F639" s="38" t="s">
        <v>2128</v>
      </c>
      <c r="G639" s="39"/>
      <c r="H639" s="103"/>
      <c r="I639" s="43"/>
    </row>
    <row r="640" spans="1:9" ht="13" x14ac:dyDescent="0.25">
      <c r="A640" s="122" t="s">
        <v>2129</v>
      </c>
      <c r="B640" s="168"/>
      <c r="C640" s="170"/>
      <c r="D640" s="39"/>
      <c r="E640" s="166"/>
      <c r="F640" s="38" t="s">
        <v>2130</v>
      </c>
      <c r="G640" s="39"/>
      <c r="H640" s="103"/>
      <c r="I640" s="43"/>
    </row>
    <row r="641" spans="1:9" ht="13" x14ac:dyDescent="0.25">
      <c r="A641" s="121" t="s">
        <v>2131</v>
      </c>
      <c r="B641" s="168"/>
      <c r="C641" s="170"/>
      <c r="D641" s="39"/>
      <c r="E641" s="166"/>
      <c r="F641" s="38" t="s">
        <v>2132</v>
      </c>
      <c r="G641" s="39"/>
      <c r="H641" s="103"/>
      <c r="I641" s="43"/>
    </row>
    <row r="642" spans="1:9" ht="13" x14ac:dyDescent="0.25">
      <c r="A642" s="122" t="s">
        <v>2133</v>
      </c>
      <c r="B642" s="168"/>
      <c r="C642" s="170"/>
      <c r="D642" s="39"/>
      <c r="E642" s="166"/>
      <c r="F642" s="38" t="s">
        <v>2134</v>
      </c>
      <c r="G642" s="39"/>
      <c r="H642" s="103"/>
      <c r="I642" s="43"/>
    </row>
    <row r="643" spans="1:9" ht="13" x14ac:dyDescent="0.25">
      <c r="A643" s="121" t="s">
        <v>2137</v>
      </c>
      <c r="B643" s="168"/>
      <c r="C643" s="170"/>
      <c r="D643" s="39" t="s">
        <v>2136</v>
      </c>
      <c r="E643" s="166"/>
      <c r="F643" s="38" t="s">
        <v>2138</v>
      </c>
      <c r="G643" s="39"/>
      <c r="H643" s="103"/>
      <c r="I643" s="43"/>
    </row>
    <row r="644" spans="1:9" ht="13" x14ac:dyDescent="0.25">
      <c r="A644" s="122" t="s">
        <v>2139</v>
      </c>
      <c r="B644" s="168"/>
      <c r="C644" s="170"/>
      <c r="D644" s="39"/>
      <c r="E644" s="166"/>
      <c r="F644" s="38" t="s">
        <v>2140</v>
      </c>
      <c r="G644" s="39"/>
      <c r="H644" s="103"/>
      <c r="I644" s="43"/>
    </row>
    <row r="645" spans="1:9" ht="13" x14ac:dyDescent="0.25">
      <c r="A645" s="121" t="s">
        <v>2141</v>
      </c>
      <c r="B645" s="168"/>
      <c r="C645" s="170"/>
      <c r="D645" s="39"/>
      <c r="E645" s="166"/>
      <c r="F645" s="38" t="s">
        <v>2142</v>
      </c>
      <c r="G645" s="39"/>
      <c r="H645" s="103"/>
      <c r="I645" s="43"/>
    </row>
    <row r="646" spans="1:9" ht="13" x14ac:dyDescent="0.25">
      <c r="A646" s="122" t="s">
        <v>2143</v>
      </c>
      <c r="B646" s="168"/>
      <c r="C646" s="170"/>
      <c r="D646" s="39"/>
      <c r="E646" s="166"/>
      <c r="F646" s="38" t="s">
        <v>2144</v>
      </c>
      <c r="G646" s="39"/>
      <c r="H646" s="103"/>
      <c r="I646" s="43"/>
    </row>
    <row r="647" spans="1:9" ht="13" x14ac:dyDescent="0.25">
      <c r="A647" s="121" t="s">
        <v>2145</v>
      </c>
      <c r="B647" s="168"/>
      <c r="C647" s="170"/>
      <c r="D647" s="39"/>
      <c r="E647" s="166"/>
      <c r="F647" s="38" t="s">
        <v>2146</v>
      </c>
      <c r="G647" s="39"/>
      <c r="H647" s="103"/>
      <c r="I647" s="43"/>
    </row>
    <row r="648" spans="1:9" ht="13" x14ac:dyDescent="0.25">
      <c r="A648" s="122" t="s">
        <v>2149</v>
      </c>
      <c r="B648" s="168"/>
      <c r="C648" s="170"/>
      <c r="D648" s="39" t="s">
        <v>2148</v>
      </c>
      <c r="E648" s="166"/>
      <c r="F648" s="38" t="s">
        <v>1137</v>
      </c>
      <c r="G648" s="39"/>
      <c r="H648" s="103"/>
      <c r="I648" s="43"/>
    </row>
    <row r="649" spans="1:9" ht="13" x14ac:dyDescent="0.25">
      <c r="A649" s="121" t="s">
        <v>2150</v>
      </c>
      <c r="B649" s="168"/>
      <c r="C649" s="170"/>
      <c r="D649" s="39"/>
      <c r="E649" s="166"/>
      <c r="F649" s="38" t="s">
        <v>67</v>
      </c>
      <c r="G649" s="39"/>
      <c r="H649" s="103"/>
      <c r="I649" s="43"/>
    </row>
    <row r="650" spans="1:9" ht="25" x14ac:dyDescent="0.25">
      <c r="A650" s="122" t="s">
        <v>2155</v>
      </c>
      <c r="B650" s="167" t="s">
        <v>2151</v>
      </c>
      <c r="C650" s="169" t="s">
        <v>2152</v>
      </c>
      <c r="D650" s="39" t="s">
        <v>2154</v>
      </c>
      <c r="E650" s="166"/>
      <c r="F650" s="38" t="s">
        <v>1934</v>
      </c>
      <c r="G650" s="39"/>
      <c r="H650" s="103"/>
      <c r="I650" s="43"/>
    </row>
    <row r="651" spans="1:9" ht="13" x14ac:dyDescent="0.25">
      <c r="A651" s="121" t="s">
        <v>2156</v>
      </c>
      <c r="B651" s="168"/>
      <c r="C651" s="170"/>
      <c r="D651" s="39"/>
      <c r="E651" s="166"/>
      <c r="F651" s="38" t="s">
        <v>2113</v>
      </c>
      <c r="G651" s="39"/>
      <c r="H651" s="103"/>
      <c r="I651" s="43"/>
    </row>
    <row r="652" spans="1:9" ht="13" x14ac:dyDescent="0.25">
      <c r="A652" s="122" t="s">
        <v>2157</v>
      </c>
      <c r="B652" s="168"/>
      <c r="C652" s="170"/>
      <c r="D652" s="39"/>
      <c r="E652" s="166"/>
      <c r="F652" s="38" t="s">
        <v>2115</v>
      </c>
      <c r="G652" s="39"/>
      <c r="H652" s="103"/>
      <c r="I652" s="43"/>
    </row>
    <row r="653" spans="1:9" ht="13" x14ac:dyDescent="0.25">
      <c r="A653" s="121" t="s">
        <v>2160</v>
      </c>
      <c r="B653" s="168"/>
      <c r="C653" s="170"/>
      <c r="D653" s="39" t="s">
        <v>2159</v>
      </c>
      <c r="E653" s="166"/>
      <c r="F653" s="38" t="s">
        <v>1934</v>
      </c>
      <c r="G653" s="39"/>
      <c r="H653" s="103"/>
      <c r="I653" s="43"/>
    </row>
    <row r="654" spans="1:9" ht="13" x14ac:dyDescent="0.25">
      <c r="A654" s="122" t="s">
        <v>2161</v>
      </c>
      <c r="B654" s="168"/>
      <c r="C654" s="170"/>
      <c r="D654" s="39"/>
      <c r="E654" s="166"/>
      <c r="F654" s="38" t="s">
        <v>1137</v>
      </c>
      <c r="G654" s="39"/>
      <c r="H654" s="103"/>
      <c r="I654" s="43"/>
    </row>
    <row r="655" spans="1:9" ht="13" x14ac:dyDescent="0.25">
      <c r="A655" s="121" t="s">
        <v>2162</v>
      </c>
      <c r="B655" s="168"/>
      <c r="C655" s="170"/>
      <c r="D655" s="39"/>
      <c r="E655" s="166"/>
      <c r="F655" s="38" t="s">
        <v>2163</v>
      </c>
      <c r="G655" s="39"/>
      <c r="H655" s="103"/>
      <c r="I655" s="43"/>
    </row>
    <row r="656" spans="1:9" ht="13" x14ac:dyDescent="0.25">
      <c r="A656" s="122" t="s">
        <v>2166</v>
      </c>
      <c r="B656" s="168"/>
      <c r="C656" s="170"/>
      <c r="D656" s="39" t="s">
        <v>2165</v>
      </c>
      <c r="E656" s="166"/>
      <c r="F656" s="38" t="s">
        <v>1934</v>
      </c>
      <c r="G656" s="39"/>
      <c r="H656" s="103"/>
      <c r="I656" s="43"/>
    </row>
    <row r="657" spans="1:9" ht="13" x14ac:dyDescent="0.25">
      <c r="A657" s="121" t="s">
        <v>2167</v>
      </c>
      <c r="B657" s="168"/>
      <c r="C657" s="170"/>
      <c r="D657" s="39"/>
      <c r="E657" s="166"/>
      <c r="F657" s="38" t="s">
        <v>1137</v>
      </c>
      <c r="G657" s="39"/>
      <c r="H657" s="103"/>
      <c r="I657" s="43"/>
    </row>
    <row r="658" spans="1:9" ht="13" x14ac:dyDescent="0.25">
      <c r="A658" s="122" t="s">
        <v>2170</v>
      </c>
      <c r="B658" s="168"/>
      <c r="C658" s="170"/>
      <c r="D658" s="39" t="s">
        <v>2169</v>
      </c>
      <c r="E658" s="166"/>
      <c r="F658" s="38" t="s">
        <v>1934</v>
      </c>
      <c r="G658" s="39"/>
      <c r="H658" s="103"/>
      <c r="I658" s="43"/>
    </row>
    <row r="659" spans="1:9" ht="13" x14ac:dyDescent="0.25">
      <c r="A659" s="121" t="s">
        <v>2171</v>
      </c>
      <c r="B659" s="168"/>
      <c r="C659" s="170"/>
      <c r="D659" s="39"/>
      <c r="E659" s="166"/>
      <c r="F659" s="38" t="s">
        <v>2113</v>
      </c>
      <c r="G659" s="39"/>
      <c r="H659" s="103"/>
      <c r="I659" s="43"/>
    </row>
    <row r="660" spans="1:9" ht="13" x14ac:dyDescent="0.25">
      <c r="A660" s="122" t="s">
        <v>2172</v>
      </c>
      <c r="B660" s="168"/>
      <c r="C660" s="170"/>
      <c r="D660" s="39"/>
      <c r="E660" s="166"/>
      <c r="F660" s="38" t="s">
        <v>2115</v>
      </c>
      <c r="G660" s="39"/>
      <c r="H660" s="103"/>
      <c r="I660" s="43"/>
    </row>
    <row r="661" spans="1:9" ht="13" x14ac:dyDescent="0.25">
      <c r="A661" s="121" t="s">
        <v>2173</v>
      </c>
      <c r="B661" s="168"/>
      <c r="C661" s="170"/>
      <c r="D661" s="39"/>
      <c r="E661" s="166"/>
      <c r="F661" s="38" t="s">
        <v>2163</v>
      </c>
      <c r="G661" s="39"/>
      <c r="H661" s="103"/>
      <c r="I661" s="43"/>
    </row>
    <row r="662" spans="1:9" ht="13" x14ac:dyDescent="0.25">
      <c r="A662" s="122" t="s">
        <v>2176</v>
      </c>
      <c r="B662" s="168"/>
      <c r="C662" s="170"/>
      <c r="D662" s="39" t="s">
        <v>2175</v>
      </c>
      <c r="E662" s="166"/>
      <c r="F662" s="38" t="s">
        <v>1934</v>
      </c>
      <c r="G662" s="39"/>
      <c r="H662" s="103"/>
      <c r="I662" s="43"/>
    </row>
    <row r="663" spans="1:9" ht="13" x14ac:dyDescent="0.25">
      <c r="A663" s="121" t="s">
        <v>2177</v>
      </c>
      <c r="B663" s="168"/>
      <c r="C663" s="170"/>
      <c r="D663" s="39"/>
      <c r="E663" s="166"/>
      <c r="F663" s="38" t="s">
        <v>2144</v>
      </c>
      <c r="G663" s="39"/>
      <c r="H663" s="103"/>
      <c r="I663" s="43"/>
    </row>
    <row r="664" spans="1:9" ht="13" x14ac:dyDescent="0.25">
      <c r="A664" s="122" t="s">
        <v>2178</v>
      </c>
      <c r="B664" s="173"/>
      <c r="C664" s="171"/>
      <c r="D664" s="39"/>
      <c r="E664" s="166"/>
      <c r="F664" s="38" t="s">
        <v>2179</v>
      </c>
      <c r="G664" s="39"/>
      <c r="H664" s="103"/>
      <c r="I664" s="43"/>
    </row>
    <row r="665" spans="1:9" ht="25" x14ac:dyDescent="0.25">
      <c r="A665" s="121" t="s">
        <v>2183</v>
      </c>
      <c r="B665" s="167" t="s">
        <v>2180</v>
      </c>
      <c r="C665" s="169" t="s">
        <v>2181</v>
      </c>
      <c r="D665" s="39" t="s">
        <v>2077</v>
      </c>
      <c r="E665" s="166"/>
      <c r="F665" s="38" t="s">
        <v>1934</v>
      </c>
      <c r="G665" s="39"/>
      <c r="H665" s="103"/>
      <c r="I665" s="43"/>
    </row>
    <row r="666" spans="1:9" ht="13" x14ac:dyDescent="0.25">
      <c r="A666" s="122" t="s">
        <v>2184</v>
      </c>
      <c r="B666" s="168"/>
      <c r="C666" s="170"/>
      <c r="D666" s="39"/>
      <c r="E666" s="166"/>
      <c r="F666" s="38" t="s">
        <v>1936</v>
      </c>
      <c r="G666" s="39"/>
      <c r="H666" s="103"/>
      <c r="I666" s="43"/>
    </row>
    <row r="667" spans="1:9" ht="13" x14ac:dyDescent="0.25">
      <c r="A667" s="121" t="s">
        <v>2187</v>
      </c>
      <c r="B667" s="168"/>
      <c r="C667" s="170"/>
      <c r="D667" s="39" t="s">
        <v>2186</v>
      </c>
      <c r="E667" s="166" t="s">
        <v>1949</v>
      </c>
      <c r="F667" s="38" t="s">
        <v>1951</v>
      </c>
      <c r="G667" s="39"/>
      <c r="H667" s="103"/>
      <c r="I667" s="43"/>
    </row>
    <row r="668" spans="1:9" ht="13" x14ac:dyDescent="0.25">
      <c r="A668" s="122" t="s">
        <v>2188</v>
      </c>
      <c r="B668" s="168"/>
      <c r="C668" s="170"/>
      <c r="D668" s="39"/>
      <c r="E668" s="166"/>
      <c r="F668" s="38" t="s">
        <v>1953</v>
      </c>
      <c r="G668" s="39"/>
      <c r="H668" s="103"/>
      <c r="I668" s="43"/>
    </row>
    <row r="669" spans="1:9" ht="13" x14ac:dyDescent="0.25">
      <c r="A669" s="121" t="s">
        <v>2189</v>
      </c>
      <c r="B669" s="173"/>
      <c r="C669" s="171"/>
      <c r="D669" s="39"/>
      <c r="E669" s="166"/>
      <c r="F669" s="38" t="s">
        <v>1955</v>
      </c>
      <c r="G669" s="39"/>
      <c r="H669" s="103"/>
      <c r="I669" s="43"/>
    </row>
    <row r="670" spans="1:9" ht="37.5" x14ac:dyDescent="0.3">
      <c r="A670" s="122" t="s">
        <v>2191</v>
      </c>
      <c r="B670" s="167" t="s">
        <v>1956</v>
      </c>
      <c r="C670" s="169" t="s">
        <v>1957</v>
      </c>
      <c r="D670" s="39" t="s">
        <v>1959</v>
      </c>
      <c r="E670" s="166"/>
      <c r="F670" s="128" t="s">
        <v>2192</v>
      </c>
      <c r="G670" s="39" t="s">
        <v>2193</v>
      </c>
      <c r="H670" s="103"/>
      <c r="I670" s="43"/>
    </row>
    <row r="671" spans="1:9" ht="26" x14ac:dyDescent="0.3">
      <c r="A671" s="121" t="s">
        <v>2195</v>
      </c>
      <c r="B671" s="168"/>
      <c r="C671" s="170"/>
      <c r="D671" s="39" t="s">
        <v>1966</v>
      </c>
      <c r="E671" s="166"/>
      <c r="F671" s="128" t="s">
        <v>2192</v>
      </c>
      <c r="G671" s="39" t="s">
        <v>2193</v>
      </c>
      <c r="H671" s="103"/>
      <c r="I671" s="43"/>
    </row>
    <row r="672" spans="1:9" ht="26.5" thickBot="1" x14ac:dyDescent="0.35">
      <c r="A672" s="122" t="s">
        <v>2197</v>
      </c>
      <c r="B672" s="173"/>
      <c r="C672" s="171"/>
      <c r="D672" s="116" t="s">
        <v>1972</v>
      </c>
      <c r="E672" s="166"/>
      <c r="F672" s="128" t="s">
        <v>2192</v>
      </c>
      <c r="G672" s="39" t="s">
        <v>2193</v>
      </c>
      <c r="H672" s="107"/>
      <c r="I672" s="43"/>
    </row>
    <row r="673" spans="1:9" ht="13" x14ac:dyDescent="0.25">
      <c r="A673" s="121"/>
      <c r="B673" s="65"/>
      <c r="C673" s="66"/>
      <c r="D673" s="66"/>
      <c r="E673" s="124"/>
      <c r="F673" s="65"/>
      <c r="G673" s="66"/>
      <c r="H673" s="48" t="s">
        <v>268</v>
      </c>
      <c r="I673" s="67" t="s">
        <v>271</v>
      </c>
    </row>
    <row r="674" spans="1:9" ht="13" x14ac:dyDescent="0.25">
      <c r="A674" s="121"/>
      <c r="B674" s="65"/>
      <c r="C674" s="66"/>
      <c r="D674" s="66"/>
      <c r="E674" s="124"/>
      <c r="F674" s="65"/>
      <c r="G674" s="66"/>
      <c r="H674" s="104"/>
      <c r="I674" s="67" t="s">
        <v>274</v>
      </c>
    </row>
    <row r="675" spans="1:9" ht="13" x14ac:dyDescent="0.25">
      <c r="A675" s="121"/>
      <c r="B675" s="65"/>
      <c r="C675" s="66"/>
      <c r="D675" s="66"/>
      <c r="E675" s="124"/>
      <c r="F675" s="65"/>
      <c r="G675" s="66"/>
      <c r="H675" s="104"/>
      <c r="I675" s="67" t="s">
        <v>277</v>
      </c>
    </row>
    <row r="676" spans="1:9" ht="13" x14ac:dyDescent="0.25">
      <c r="A676" s="121"/>
      <c r="B676" s="65"/>
      <c r="C676" s="66"/>
      <c r="D676" s="66"/>
      <c r="E676" s="124"/>
      <c r="F676" s="65"/>
      <c r="G676" s="66"/>
      <c r="H676" s="104"/>
      <c r="I676" s="67" t="s">
        <v>280</v>
      </c>
    </row>
    <row r="677" spans="1:9" ht="13" x14ac:dyDescent="0.25">
      <c r="A677" s="121"/>
      <c r="B677" s="65"/>
      <c r="C677" s="66"/>
      <c r="D677" s="66"/>
      <c r="E677" s="124"/>
      <c r="F677" s="65"/>
      <c r="G677" s="66"/>
      <c r="H677" s="104"/>
      <c r="I677" s="67" t="s">
        <v>283</v>
      </c>
    </row>
    <row r="678" spans="1:9" ht="13" x14ac:dyDescent="0.25">
      <c r="A678" s="121"/>
      <c r="B678" s="65"/>
      <c r="C678" s="66"/>
      <c r="D678" s="66"/>
      <c r="E678" s="124"/>
      <c r="F678" s="65"/>
      <c r="G678" s="66"/>
      <c r="H678" s="104"/>
      <c r="I678" s="67" t="s">
        <v>286</v>
      </c>
    </row>
    <row r="679" spans="1:9" ht="13" x14ac:dyDescent="0.25">
      <c r="A679" s="121"/>
      <c r="B679" s="65"/>
      <c r="C679" s="66"/>
      <c r="D679" s="66"/>
      <c r="E679" s="124"/>
      <c r="F679" s="65"/>
      <c r="G679" s="66"/>
      <c r="H679" s="104"/>
      <c r="I679" s="67" t="s">
        <v>289</v>
      </c>
    </row>
    <row r="680" spans="1:9" ht="13" x14ac:dyDescent="0.25">
      <c r="A680" s="121"/>
      <c r="B680" s="65"/>
      <c r="C680" s="66"/>
      <c r="D680" s="66"/>
      <c r="E680" s="124"/>
      <c r="F680" s="65"/>
      <c r="G680" s="66"/>
      <c r="H680" s="104"/>
      <c r="I680" s="67" t="s">
        <v>292</v>
      </c>
    </row>
    <row r="681" spans="1:9" ht="13" x14ac:dyDescent="0.25">
      <c r="A681" s="121"/>
      <c r="B681" s="65"/>
      <c r="C681" s="66"/>
      <c r="D681" s="66"/>
      <c r="E681" s="124"/>
      <c r="F681" s="65"/>
      <c r="G681" s="66"/>
      <c r="H681" s="104"/>
      <c r="I681" s="67" t="s">
        <v>295</v>
      </c>
    </row>
    <row r="682" spans="1:9" ht="13" x14ac:dyDescent="0.25">
      <c r="A682" s="121"/>
      <c r="B682" s="65"/>
      <c r="C682" s="66"/>
      <c r="D682" s="66"/>
      <c r="E682" s="124"/>
      <c r="F682" s="65"/>
      <c r="G682" s="66"/>
      <c r="H682" s="105"/>
      <c r="I682" s="67" t="s">
        <v>298</v>
      </c>
    </row>
    <row r="683" spans="1:9" ht="25" x14ac:dyDescent="0.25">
      <c r="A683" s="121" t="s">
        <v>2202</v>
      </c>
      <c r="B683" s="38" t="s">
        <v>2198</v>
      </c>
      <c r="C683" s="39" t="s">
        <v>2199</v>
      </c>
      <c r="D683" s="39" t="s">
        <v>2201</v>
      </c>
      <c r="E683" s="166"/>
      <c r="F683" s="38" t="s">
        <v>644</v>
      </c>
      <c r="G683" s="39"/>
      <c r="H683" s="68" t="s">
        <v>301</v>
      </c>
      <c r="I683" s="69" t="s">
        <v>304</v>
      </c>
    </row>
    <row r="684" spans="1:9" ht="13" x14ac:dyDescent="0.25">
      <c r="A684" s="122" t="s">
        <v>2203</v>
      </c>
      <c r="B684" s="38"/>
      <c r="C684" s="39"/>
      <c r="D684" s="39"/>
      <c r="E684" s="166"/>
      <c r="F684" s="38" t="s">
        <v>679</v>
      </c>
      <c r="G684" s="39"/>
      <c r="H684" s="70"/>
      <c r="I684" s="71" t="s">
        <v>307</v>
      </c>
    </row>
    <row r="685" spans="1:9" ht="13" x14ac:dyDescent="0.25">
      <c r="A685" s="121" t="s">
        <v>2204</v>
      </c>
      <c r="B685" s="38"/>
      <c r="C685" s="39"/>
      <c r="D685" s="39"/>
      <c r="E685" s="166"/>
      <c r="F685" s="38" t="s">
        <v>650</v>
      </c>
      <c r="G685" s="39"/>
      <c r="H685" s="70"/>
      <c r="I685" s="71" t="s">
        <v>310</v>
      </c>
    </row>
    <row r="686" spans="1:9" ht="13" x14ac:dyDescent="0.25">
      <c r="A686" s="122" t="s">
        <v>2206</v>
      </c>
      <c r="B686" s="38"/>
      <c r="C686" s="39"/>
      <c r="D686" s="39" t="s">
        <v>682</v>
      </c>
      <c r="E686" s="166"/>
      <c r="F686" s="38" t="s">
        <v>684</v>
      </c>
      <c r="G686" s="39"/>
      <c r="H686" s="70"/>
      <c r="I686" s="71" t="s">
        <v>313</v>
      </c>
    </row>
    <row r="687" spans="1:9" ht="13" x14ac:dyDescent="0.25">
      <c r="A687" s="121" t="s">
        <v>2207</v>
      </c>
      <c r="B687" s="38"/>
      <c r="C687" s="39"/>
      <c r="D687" s="39"/>
      <c r="E687" s="166"/>
      <c r="F687" s="38" t="s">
        <v>2208</v>
      </c>
      <c r="G687" s="39"/>
      <c r="H687" s="70"/>
      <c r="I687" s="72"/>
    </row>
    <row r="688" spans="1:9" ht="13" x14ac:dyDescent="0.25">
      <c r="A688" s="65" t="s">
        <v>2209</v>
      </c>
      <c r="B688" s="38"/>
      <c r="C688" s="39"/>
      <c r="D688" s="39"/>
      <c r="E688" s="166"/>
      <c r="F688" s="38" t="s">
        <v>687</v>
      </c>
      <c r="G688" s="39"/>
      <c r="H688" s="70"/>
      <c r="I688" s="72"/>
    </row>
    <row r="689" spans="1:9" ht="13" x14ac:dyDescent="0.25">
      <c r="A689" s="65" t="s">
        <v>2211</v>
      </c>
      <c r="B689" s="38"/>
      <c r="C689" s="39"/>
      <c r="D689" s="39" t="s">
        <v>689</v>
      </c>
      <c r="E689" s="166"/>
      <c r="F689" s="38" t="s">
        <v>691</v>
      </c>
      <c r="G689" s="39"/>
      <c r="H689" s="70"/>
      <c r="I689" s="72"/>
    </row>
    <row r="690" spans="1:9" ht="25.5" x14ac:dyDescent="0.3">
      <c r="A690" s="65" t="s">
        <v>2212</v>
      </c>
      <c r="B690" s="38"/>
      <c r="C690" s="39"/>
      <c r="D690" s="39"/>
      <c r="E690" s="166"/>
      <c r="F690" s="127" t="s">
        <v>694</v>
      </c>
      <c r="G690" s="39" t="s">
        <v>692</v>
      </c>
      <c r="H690" s="70"/>
      <c r="I690" s="72"/>
    </row>
    <row r="691" spans="1:9" ht="13" x14ac:dyDescent="0.25">
      <c r="A691" s="65" t="s">
        <v>2214</v>
      </c>
      <c r="B691" s="38"/>
      <c r="C691" s="39"/>
      <c r="D691" s="39" t="s">
        <v>696</v>
      </c>
      <c r="E691" s="166"/>
      <c r="F691" s="38" t="s">
        <v>698</v>
      </c>
      <c r="G691" s="39"/>
      <c r="H691" s="70"/>
      <c r="I691" s="72"/>
    </row>
    <row r="692" spans="1:9" ht="25.5" x14ac:dyDescent="0.3">
      <c r="A692" s="65" t="s">
        <v>2215</v>
      </c>
      <c r="B692" s="38"/>
      <c r="C692" s="39"/>
      <c r="D692" s="39"/>
      <c r="E692" s="166"/>
      <c r="F692" s="127" t="s">
        <v>694</v>
      </c>
      <c r="G692" s="39" t="s">
        <v>692</v>
      </c>
      <c r="H692" s="70"/>
      <c r="I692" s="72"/>
    </row>
    <row r="693" spans="1:9" ht="13" x14ac:dyDescent="0.25">
      <c r="A693" s="65" t="s">
        <v>2220</v>
      </c>
      <c r="B693" s="38" t="s">
        <v>2216</v>
      </c>
      <c r="C693" s="39" t="s">
        <v>2217</v>
      </c>
      <c r="D693" s="39" t="s">
        <v>2219</v>
      </c>
      <c r="E693" s="166"/>
      <c r="F693" s="38" t="s">
        <v>2221</v>
      </c>
      <c r="G693" s="39"/>
      <c r="H693" s="109"/>
      <c r="I693" s="71"/>
    </row>
    <row r="694" spans="1:9" ht="13" x14ac:dyDescent="0.25">
      <c r="A694" s="65" t="s">
        <v>2224</v>
      </c>
      <c r="B694" s="38"/>
      <c r="C694" s="39"/>
      <c r="D694" s="39" t="s">
        <v>2223</v>
      </c>
      <c r="E694" s="166"/>
      <c r="F694" s="38" t="s">
        <v>925</v>
      </c>
      <c r="G694" s="39"/>
      <c r="H694" s="109"/>
      <c r="I694" s="71"/>
    </row>
    <row r="695" spans="1:9" ht="13" x14ac:dyDescent="0.25">
      <c r="A695" s="65" t="s">
        <v>2225</v>
      </c>
      <c r="B695" s="38"/>
      <c r="C695" s="39"/>
      <c r="D695" s="39"/>
      <c r="E695" s="166"/>
      <c r="F695" s="38" t="s">
        <v>721</v>
      </c>
      <c r="G695" s="39"/>
      <c r="H695" s="109"/>
      <c r="I695" s="71"/>
    </row>
    <row r="696" spans="1:9" ht="13" x14ac:dyDescent="0.25">
      <c r="A696" s="65" t="s">
        <v>2226</v>
      </c>
      <c r="B696" s="38"/>
      <c r="C696" s="39"/>
      <c r="D696" s="39"/>
      <c r="E696" s="166"/>
      <c r="F696" s="38" t="s">
        <v>723</v>
      </c>
      <c r="G696" s="39"/>
      <c r="H696" s="109"/>
      <c r="I696" s="71"/>
    </row>
    <row r="697" spans="1:9" ht="13" x14ac:dyDescent="0.25">
      <c r="A697" s="65" t="s">
        <v>2227</v>
      </c>
      <c r="B697" s="38"/>
      <c r="C697" s="39"/>
      <c r="D697" s="39"/>
      <c r="E697" s="166"/>
      <c r="F697" s="38" t="s">
        <v>652</v>
      </c>
      <c r="G697" s="39"/>
      <c r="H697" s="109"/>
      <c r="I697" s="71"/>
    </row>
    <row r="698" spans="1:9" ht="13" x14ac:dyDescent="0.25">
      <c r="A698" s="122" t="s">
        <v>2228</v>
      </c>
      <c r="B698" s="38"/>
      <c r="C698" s="39"/>
      <c r="D698" s="39"/>
      <c r="E698" s="166"/>
      <c r="F698" s="38" t="s">
        <v>781</v>
      </c>
      <c r="G698" s="39"/>
      <c r="H698" s="109"/>
      <c r="I698" s="71"/>
    </row>
    <row r="699" spans="1:9" ht="13" x14ac:dyDescent="0.25">
      <c r="A699" s="121" t="s">
        <v>2229</v>
      </c>
      <c r="B699" s="38"/>
      <c r="C699" s="39"/>
      <c r="D699" s="39"/>
      <c r="E699" s="166"/>
      <c r="F699" s="38" t="s">
        <v>2230</v>
      </c>
      <c r="G699" s="39"/>
      <c r="H699" s="109"/>
      <c r="I699" s="71"/>
    </row>
    <row r="700" spans="1:9" ht="13" x14ac:dyDescent="0.25">
      <c r="A700" s="122" t="s">
        <v>2231</v>
      </c>
      <c r="B700" s="38"/>
      <c r="C700" s="39"/>
      <c r="D700" s="39"/>
      <c r="E700" s="166"/>
      <c r="F700" s="38" t="s">
        <v>2232</v>
      </c>
      <c r="G700" s="39"/>
      <c r="H700" s="109"/>
      <c r="I700" s="71"/>
    </row>
    <row r="701" spans="1:9" ht="13" x14ac:dyDescent="0.25">
      <c r="A701" s="121" t="s">
        <v>2237</v>
      </c>
      <c r="B701" s="38" t="s">
        <v>2233</v>
      </c>
      <c r="C701" s="257" t="s">
        <v>2234</v>
      </c>
      <c r="D701" s="39" t="s">
        <v>2236</v>
      </c>
      <c r="E701" s="166"/>
      <c r="F701" s="38" t="s">
        <v>2221</v>
      </c>
      <c r="G701" s="39"/>
      <c r="H701" s="109"/>
      <c r="I701" s="71"/>
    </row>
    <row r="702" spans="1:9" ht="13" x14ac:dyDescent="0.25">
      <c r="A702" s="122" t="s">
        <v>2240</v>
      </c>
      <c r="B702" s="38"/>
      <c r="C702" s="258"/>
      <c r="D702" s="39" t="s">
        <v>2239</v>
      </c>
      <c r="E702" s="166"/>
      <c r="F702" s="38" t="s">
        <v>925</v>
      </c>
      <c r="G702" s="39"/>
      <c r="H702" s="109"/>
      <c r="I702" s="71"/>
    </row>
    <row r="703" spans="1:9" ht="13" x14ac:dyDescent="0.25">
      <c r="A703" s="121" t="s">
        <v>2241</v>
      </c>
      <c r="B703" s="38"/>
      <c r="C703" s="39"/>
      <c r="D703" s="39"/>
      <c r="E703" s="166"/>
      <c r="F703" s="38" t="s">
        <v>721</v>
      </c>
      <c r="G703" s="39"/>
      <c r="H703" s="109"/>
      <c r="I703" s="71"/>
    </row>
    <row r="704" spans="1:9" ht="13" x14ac:dyDescent="0.25">
      <c r="A704" s="122" t="s">
        <v>2242</v>
      </c>
      <c r="B704" s="38"/>
      <c r="C704" s="39"/>
      <c r="D704" s="39"/>
      <c r="E704" s="166"/>
      <c r="F704" s="38" t="s">
        <v>644</v>
      </c>
      <c r="G704" s="39"/>
      <c r="H704" s="109"/>
      <c r="I704" s="71"/>
    </row>
    <row r="705" spans="1:9" ht="13" x14ac:dyDescent="0.25">
      <c r="A705" s="121" t="s">
        <v>2243</v>
      </c>
      <c r="B705" s="38"/>
      <c r="C705" s="39"/>
      <c r="D705" s="39"/>
      <c r="E705" s="166"/>
      <c r="F705" s="38" t="s">
        <v>646</v>
      </c>
      <c r="G705" s="39"/>
      <c r="H705" s="109"/>
      <c r="I705" s="71"/>
    </row>
    <row r="706" spans="1:9" ht="13" x14ac:dyDescent="0.25">
      <c r="A706" s="122" t="s">
        <v>2244</v>
      </c>
      <c r="B706" s="38"/>
      <c r="C706" s="39"/>
      <c r="D706" s="39"/>
      <c r="E706" s="166"/>
      <c r="F706" s="38" t="s">
        <v>652</v>
      </c>
      <c r="G706" s="39"/>
      <c r="H706" s="109"/>
      <c r="I706" s="71"/>
    </row>
    <row r="707" spans="1:9" ht="13" x14ac:dyDescent="0.25">
      <c r="A707" s="121" t="s">
        <v>2245</v>
      </c>
      <c r="B707" s="38"/>
      <c r="C707" s="39"/>
      <c r="D707" s="39"/>
      <c r="E707" s="166"/>
      <c r="F707" s="38" t="s">
        <v>2246</v>
      </c>
      <c r="G707" s="39"/>
      <c r="H707" s="109"/>
      <c r="I707" s="71"/>
    </row>
    <row r="708" spans="1:9" ht="25" x14ac:dyDescent="0.25">
      <c r="A708" s="122" t="s">
        <v>2251</v>
      </c>
      <c r="B708" s="39" t="s">
        <v>2247</v>
      </c>
      <c r="C708" s="39" t="s">
        <v>2248</v>
      </c>
      <c r="D708" s="39" t="s">
        <v>2250</v>
      </c>
      <c r="E708" s="166"/>
      <c r="F708" s="38" t="s">
        <v>2221</v>
      </c>
      <c r="G708" s="39"/>
      <c r="H708" s="109"/>
      <c r="I708" s="71"/>
    </row>
    <row r="709" spans="1:9" ht="13" x14ac:dyDescent="0.25">
      <c r="A709" s="121" t="s">
        <v>2252</v>
      </c>
      <c r="B709" s="38"/>
      <c r="C709" s="39"/>
      <c r="D709" s="39"/>
      <c r="E709" s="166"/>
      <c r="F709" s="38" t="s">
        <v>721</v>
      </c>
      <c r="G709" s="39"/>
      <c r="H709" s="109"/>
      <c r="I709" s="71"/>
    </row>
    <row r="710" spans="1:9" ht="13" x14ac:dyDescent="0.25">
      <c r="A710" s="122" t="s">
        <v>2253</v>
      </c>
      <c r="B710" s="38"/>
      <c r="C710" s="39"/>
      <c r="D710" s="39"/>
      <c r="E710" s="166"/>
      <c r="F710" s="38" t="s">
        <v>723</v>
      </c>
      <c r="G710" s="39"/>
      <c r="H710" s="109"/>
      <c r="I710" s="71"/>
    </row>
    <row r="711" spans="1:9" ht="25" x14ac:dyDescent="0.25">
      <c r="A711" s="121" t="s">
        <v>2256</v>
      </c>
      <c r="B711" s="38"/>
      <c r="C711" s="39"/>
      <c r="D711" s="39" t="s">
        <v>2255</v>
      </c>
      <c r="E711" s="166"/>
      <c r="F711" s="38" t="s">
        <v>925</v>
      </c>
      <c r="G711" s="39"/>
      <c r="H711" s="109"/>
      <c r="I711" s="71"/>
    </row>
    <row r="712" spans="1:9" ht="13" x14ac:dyDescent="0.25">
      <c r="A712" s="122" t="s">
        <v>2257</v>
      </c>
      <c r="B712" s="38"/>
      <c r="C712" s="39"/>
      <c r="D712" s="39"/>
      <c r="E712" s="166"/>
      <c r="F712" s="38" t="s">
        <v>1061</v>
      </c>
      <c r="G712" s="39"/>
      <c r="H712" s="109"/>
      <c r="I712" s="71"/>
    </row>
    <row r="713" spans="1:9" ht="13" x14ac:dyDescent="0.25">
      <c r="A713" s="122" t="s">
        <v>2258</v>
      </c>
      <c r="B713" s="38"/>
      <c r="C713" s="39"/>
      <c r="D713" s="39"/>
      <c r="E713" s="166"/>
      <c r="F713" s="38" t="s">
        <v>2259</v>
      </c>
      <c r="G713" s="39"/>
      <c r="H713" s="109"/>
      <c r="I713" s="71"/>
    </row>
    <row r="714" spans="1:9" ht="13" x14ac:dyDescent="0.25">
      <c r="A714" s="122" t="s">
        <v>2260</v>
      </c>
      <c r="B714" s="38"/>
      <c r="C714" s="39"/>
      <c r="D714" s="39"/>
      <c r="E714" s="166"/>
      <c r="F714" s="38" t="s">
        <v>2261</v>
      </c>
      <c r="G714" s="39"/>
      <c r="H714" s="109"/>
      <c r="I714" s="71"/>
    </row>
    <row r="715" spans="1:9" ht="13" x14ac:dyDescent="0.25">
      <c r="A715" s="122" t="s">
        <v>2262</v>
      </c>
      <c r="B715" s="38"/>
      <c r="C715" s="39"/>
      <c r="D715" s="39"/>
      <c r="E715" s="166"/>
      <c r="F715" s="38" t="s">
        <v>936</v>
      </c>
      <c r="G715" s="39"/>
      <c r="H715" s="109"/>
      <c r="I715" s="71"/>
    </row>
    <row r="716" spans="1:9" ht="13" x14ac:dyDescent="0.25">
      <c r="A716" s="122" t="s">
        <v>2263</v>
      </c>
      <c r="B716" s="38"/>
      <c r="C716" s="39"/>
      <c r="D716" s="39"/>
      <c r="E716" s="166"/>
      <c r="F716" s="38" t="s">
        <v>2264</v>
      </c>
      <c r="G716" s="39"/>
      <c r="H716" s="109"/>
      <c r="I716" s="71"/>
    </row>
    <row r="717" spans="1:9" ht="13" x14ac:dyDescent="0.25">
      <c r="A717" s="122" t="s">
        <v>2269</v>
      </c>
      <c r="B717" s="38" t="s">
        <v>2265</v>
      </c>
      <c r="C717" s="39" t="s">
        <v>2266</v>
      </c>
      <c r="D717" s="39" t="s">
        <v>2268</v>
      </c>
      <c r="E717" s="166"/>
      <c r="F717" s="38" t="s">
        <v>644</v>
      </c>
      <c r="G717" s="39"/>
      <c r="H717" s="109"/>
      <c r="I717" s="71"/>
    </row>
    <row r="718" spans="1:9" ht="13" x14ac:dyDescent="0.25">
      <c r="A718" s="122" t="s">
        <v>2270</v>
      </c>
      <c r="B718" s="38"/>
      <c r="C718" s="39"/>
      <c r="D718" s="39"/>
      <c r="E718" s="166"/>
      <c r="F718" s="38" t="s">
        <v>679</v>
      </c>
      <c r="G718" s="39"/>
      <c r="H718" s="109"/>
      <c r="I718" s="71"/>
    </row>
    <row r="719" spans="1:9" ht="13" x14ac:dyDescent="0.25">
      <c r="A719" s="122" t="s">
        <v>2271</v>
      </c>
      <c r="B719" s="38"/>
      <c r="C719" s="39"/>
      <c r="D719" s="39"/>
      <c r="E719" s="166"/>
      <c r="F719" s="38" t="s">
        <v>2221</v>
      </c>
      <c r="G719" s="39"/>
      <c r="H719" s="109"/>
      <c r="I719" s="71"/>
    </row>
    <row r="720" spans="1:9" ht="13" x14ac:dyDescent="0.25">
      <c r="A720" s="122" t="s">
        <v>2272</v>
      </c>
      <c r="B720" s="38"/>
      <c r="C720" s="39"/>
      <c r="D720" s="39"/>
      <c r="E720" s="166"/>
      <c r="F720" s="38" t="s">
        <v>1917</v>
      </c>
      <c r="G720" s="39"/>
      <c r="H720" s="109"/>
      <c r="I720" s="71"/>
    </row>
    <row r="721" spans="1:9" ht="13" x14ac:dyDescent="0.25">
      <c r="A721" s="122" t="s">
        <v>2273</v>
      </c>
      <c r="B721" s="38"/>
      <c r="C721" s="39"/>
      <c r="D721" s="39"/>
      <c r="E721" s="166"/>
      <c r="F721" s="38" t="s">
        <v>1914</v>
      </c>
      <c r="G721" s="39"/>
      <c r="H721" s="109"/>
      <c r="I721" s="71"/>
    </row>
    <row r="722" spans="1:9" ht="13" x14ac:dyDescent="0.25">
      <c r="A722" s="122" t="s">
        <v>2276</v>
      </c>
      <c r="B722" s="38"/>
      <c r="C722" s="39"/>
      <c r="D722" s="39" t="s">
        <v>2275</v>
      </c>
      <c r="E722" s="166"/>
      <c r="F722" s="38" t="s">
        <v>644</v>
      </c>
      <c r="G722" s="39"/>
      <c r="H722" s="109"/>
      <c r="I722" s="71"/>
    </row>
    <row r="723" spans="1:9" ht="13" x14ac:dyDescent="0.25">
      <c r="A723" s="122" t="s">
        <v>2277</v>
      </c>
      <c r="B723" s="38"/>
      <c r="C723" s="39"/>
      <c r="D723" s="39"/>
      <c r="E723" s="166"/>
      <c r="F723" s="38" t="s">
        <v>679</v>
      </c>
      <c r="G723" s="39"/>
      <c r="H723" s="109"/>
      <c r="I723" s="71"/>
    </row>
    <row r="724" spans="1:9" ht="13" x14ac:dyDescent="0.25">
      <c r="A724" s="122" t="s">
        <v>2278</v>
      </c>
      <c r="B724" s="38"/>
      <c r="C724" s="39"/>
      <c r="D724" s="39"/>
      <c r="E724" s="166"/>
      <c r="F724" s="38" t="s">
        <v>650</v>
      </c>
      <c r="G724" s="39"/>
      <c r="H724" s="109"/>
      <c r="I724" s="71"/>
    </row>
    <row r="725" spans="1:9" ht="13" x14ac:dyDescent="0.25">
      <c r="A725" s="122" t="s">
        <v>2279</v>
      </c>
      <c r="B725" s="38"/>
      <c r="C725" s="39"/>
      <c r="D725" s="39"/>
      <c r="E725" s="166"/>
      <c r="F725" s="38" t="s">
        <v>1703</v>
      </c>
      <c r="G725" s="39"/>
      <c r="H725" s="109"/>
      <c r="I725" s="71"/>
    </row>
    <row r="726" spans="1:9" ht="13" x14ac:dyDescent="0.25">
      <c r="A726" s="122" t="s">
        <v>2284</v>
      </c>
      <c r="B726" s="38" t="s">
        <v>2280</v>
      </c>
      <c r="C726" s="39" t="s">
        <v>2281</v>
      </c>
      <c r="D726" s="39" t="s">
        <v>2283</v>
      </c>
      <c r="E726" s="166"/>
      <c r="F726" s="38" t="s">
        <v>2221</v>
      </c>
      <c r="G726" s="39"/>
      <c r="H726" s="109"/>
      <c r="I726" s="71"/>
    </row>
    <row r="727" spans="1:9" ht="13" x14ac:dyDescent="0.25">
      <c r="A727" s="122" t="s">
        <v>2285</v>
      </c>
      <c r="B727" s="38"/>
      <c r="C727" s="39"/>
      <c r="D727" s="39"/>
      <c r="E727" s="166"/>
      <c r="F727" s="38" t="s">
        <v>1914</v>
      </c>
      <c r="G727" s="39"/>
      <c r="H727" s="109"/>
      <c r="I727" s="71"/>
    </row>
    <row r="728" spans="1:9" ht="13" x14ac:dyDescent="0.25">
      <c r="A728" s="122" t="s">
        <v>2286</v>
      </c>
      <c r="B728" s="38"/>
      <c r="C728" s="39"/>
      <c r="D728" s="39"/>
      <c r="E728" s="166"/>
      <c r="F728" s="38" t="s">
        <v>1917</v>
      </c>
      <c r="G728" s="39"/>
      <c r="H728" s="109"/>
      <c r="I728" s="71"/>
    </row>
    <row r="729" spans="1:9" ht="13" x14ac:dyDescent="0.25">
      <c r="A729" s="122" t="s">
        <v>2289</v>
      </c>
      <c r="B729" s="38"/>
      <c r="C729" s="39"/>
      <c r="D729" s="39" t="s">
        <v>2288</v>
      </c>
      <c r="E729" s="166"/>
      <c r="F729" s="38" t="s">
        <v>644</v>
      </c>
      <c r="G729" s="39"/>
      <c r="H729" s="109"/>
      <c r="I729" s="71"/>
    </row>
    <row r="730" spans="1:9" ht="13" x14ac:dyDescent="0.25">
      <c r="A730" s="122" t="s">
        <v>2290</v>
      </c>
      <c r="B730" s="38"/>
      <c r="C730" s="39"/>
      <c r="D730" s="39"/>
      <c r="E730" s="166"/>
      <c r="F730" s="38" t="s">
        <v>679</v>
      </c>
      <c r="G730" s="39"/>
      <c r="H730" s="109"/>
      <c r="I730" s="71"/>
    </row>
    <row r="731" spans="1:9" ht="13" x14ac:dyDescent="0.25">
      <c r="A731" s="122" t="s">
        <v>2291</v>
      </c>
      <c r="B731" s="38"/>
      <c r="C731" s="39"/>
      <c r="D731" s="39"/>
      <c r="E731" s="166"/>
      <c r="F731" s="38" t="s">
        <v>721</v>
      </c>
      <c r="G731" s="39"/>
      <c r="H731" s="109"/>
      <c r="I731" s="71"/>
    </row>
    <row r="732" spans="1:9" ht="13" x14ac:dyDescent="0.25">
      <c r="A732" s="122" t="s">
        <v>2292</v>
      </c>
      <c r="B732" s="38"/>
      <c r="C732" s="39"/>
      <c r="D732" s="39"/>
      <c r="E732" s="166"/>
      <c r="F732" s="38" t="s">
        <v>723</v>
      </c>
      <c r="G732" s="39"/>
      <c r="H732" s="109"/>
      <c r="I732" s="71"/>
    </row>
    <row r="733" spans="1:9" ht="13" x14ac:dyDescent="0.25">
      <c r="A733" s="122" t="s">
        <v>2293</v>
      </c>
      <c r="B733" s="38"/>
      <c r="C733" s="39"/>
      <c r="D733" s="39"/>
      <c r="E733" s="166"/>
      <c r="F733" s="38" t="s">
        <v>650</v>
      </c>
      <c r="G733" s="39"/>
      <c r="H733" s="109"/>
      <c r="I733" s="71"/>
    </row>
    <row r="734" spans="1:9" ht="13" x14ac:dyDescent="0.25">
      <c r="A734" s="122" t="s">
        <v>2294</v>
      </c>
      <c r="B734" s="38"/>
      <c r="C734" s="39"/>
      <c r="D734" s="39"/>
      <c r="E734" s="166"/>
      <c r="F734" s="38" t="s">
        <v>1703</v>
      </c>
      <c r="G734" s="39"/>
      <c r="H734" s="109"/>
      <c r="I734" s="71"/>
    </row>
    <row r="735" spans="1:9" ht="13" x14ac:dyDescent="0.3">
      <c r="A735" s="122" t="s">
        <v>2298</v>
      </c>
      <c r="B735" s="127" t="s">
        <v>49</v>
      </c>
      <c r="C735" s="39" t="s">
        <v>2295</v>
      </c>
      <c r="D735" s="39" t="s">
        <v>2297</v>
      </c>
      <c r="E735" s="166"/>
      <c r="F735" s="38" t="s">
        <v>644</v>
      </c>
      <c r="G735" s="39"/>
      <c r="H735" s="109"/>
      <c r="I735" s="71"/>
    </row>
    <row r="736" spans="1:9" ht="13" x14ac:dyDescent="0.25">
      <c r="A736" s="122" t="s">
        <v>2299</v>
      </c>
      <c r="B736" s="38"/>
      <c r="C736" s="39"/>
      <c r="D736" s="39"/>
      <c r="E736" s="166"/>
      <c r="F736" s="38" t="s">
        <v>679</v>
      </c>
      <c r="G736" s="39"/>
      <c r="H736" s="109"/>
      <c r="I736" s="71"/>
    </row>
    <row r="737" spans="1:9" ht="13" x14ac:dyDescent="0.25">
      <c r="A737" s="122" t="s">
        <v>2300</v>
      </c>
      <c r="B737" s="38"/>
      <c r="C737" s="39"/>
      <c r="D737" s="39"/>
      <c r="E737" s="166"/>
      <c r="F737" s="38" t="s">
        <v>710</v>
      </c>
      <c r="G737" s="39"/>
      <c r="H737" s="109"/>
      <c r="I737" s="71"/>
    </row>
    <row r="738" spans="1:9" ht="13" x14ac:dyDescent="0.25">
      <c r="A738" s="122" t="s">
        <v>2301</v>
      </c>
      <c r="B738" s="38"/>
      <c r="C738" s="39"/>
      <c r="D738" s="39"/>
      <c r="E738" s="166"/>
      <c r="F738" s="38" t="s">
        <v>2221</v>
      </c>
      <c r="G738" s="39"/>
      <c r="H738" s="109"/>
      <c r="I738" s="71"/>
    </row>
    <row r="739" spans="1:9" ht="13" x14ac:dyDescent="0.25">
      <c r="A739" s="122" t="s">
        <v>2302</v>
      </c>
      <c r="B739" s="38"/>
      <c r="C739" s="39"/>
      <c r="D739" s="39"/>
      <c r="E739" s="166"/>
      <c r="F739" s="38" t="s">
        <v>650</v>
      </c>
      <c r="G739" s="39"/>
      <c r="H739" s="109"/>
      <c r="I739" s="71"/>
    </row>
    <row r="740" spans="1:9" ht="25" x14ac:dyDescent="0.25">
      <c r="A740" s="122" t="s">
        <v>2307</v>
      </c>
      <c r="B740" s="38" t="s">
        <v>2303</v>
      </c>
      <c r="C740" s="39" t="s">
        <v>2304</v>
      </c>
      <c r="D740" s="39" t="s">
        <v>2306</v>
      </c>
      <c r="E740" s="166"/>
      <c r="F740" s="38" t="s">
        <v>644</v>
      </c>
      <c r="G740" s="39"/>
      <c r="H740" s="109"/>
      <c r="I740" s="71"/>
    </row>
    <row r="741" spans="1:9" ht="13" x14ac:dyDescent="0.25">
      <c r="A741" s="122" t="s">
        <v>2308</v>
      </c>
      <c r="B741" s="38"/>
      <c r="C741" s="39"/>
      <c r="D741" s="39"/>
      <c r="E741" s="166"/>
      <c r="F741" s="38" t="s">
        <v>679</v>
      </c>
      <c r="G741" s="39"/>
      <c r="H741" s="109"/>
      <c r="I741" s="71"/>
    </row>
    <row r="742" spans="1:9" ht="13" x14ac:dyDescent="0.25">
      <c r="A742" s="122" t="s">
        <v>2309</v>
      </c>
      <c r="B742" s="38"/>
      <c r="C742" s="39"/>
      <c r="D742" s="39"/>
      <c r="E742" s="166"/>
      <c r="F742" s="38" t="s">
        <v>710</v>
      </c>
      <c r="G742" s="39"/>
      <c r="H742" s="109"/>
      <c r="I742" s="71"/>
    </row>
    <row r="743" spans="1:9" ht="13" x14ac:dyDescent="0.25">
      <c r="A743" s="122" t="s">
        <v>2310</v>
      </c>
      <c r="B743" s="38"/>
      <c r="C743" s="39"/>
      <c r="D743" s="39"/>
      <c r="E743" s="166"/>
      <c r="F743" s="38" t="s">
        <v>2221</v>
      </c>
      <c r="G743" s="39"/>
      <c r="H743" s="109"/>
      <c r="I743" s="71"/>
    </row>
    <row r="744" spans="1:9" ht="13" x14ac:dyDescent="0.25">
      <c r="A744" s="122" t="s">
        <v>2311</v>
      </c>
      <c r="B744" s="38"/>
      <c r="C744" s="39"/>
      <c r="D744" s="39"/>
      <c r="E744" s="166"/>
      <c r="F744" s="38" t="s">
        <v>650</v>
      </c>
      <c r="G744" s="39"/>
      <c r="H744" s="109"/>
      <c r="I744" s="71"/>
    </row>
    <row r="745" spans="1:9" ht="13" x14ac:dyDescent="0.25">
      <c r="A745" s="122" t="s">
        <v>2312</v>
      </c>
      <c r="B745" s="38"/>
      <c r="C745" s="39"/>
      <c r="D745" s="39"/>
      <c r="E745" s="166"/>
      <c r="F745" s="38" t="s">
        <v>1799</v>
      </c>
      <c r="G745" s="39" t="s">
        <v>2313</v>
      </c>
      <c r="H745" s="109"/>
      <c r="I745" s="71"/>
    </row>
    <row r="746" spans="1:9" ht="13" x14ac:dyDescent="0.25">
      <c r="A746" s="122" t="s">
        <v>2314</v>
      </c>
      <c r="B746" s="38"/>
      <c r="C746" s="39"/>
      <c r="D746" s="39"/>
      <c r="E746" s="166"/>
      <c r="F746" s="38" t="s">
        <v>1756</v>
      </c>
      <c r="G746" s="39" t="s">
        <v>2315</v>
      </c>
      <c r="H746" s="109"/>
      <c r="I746" s="71"/>
    </row>
    <row r="747" spans="1:9" ht="13" x14ac:dyDescent="0.25">
      <c r="A747" s="122" t="s">
        <v>2316</v>
      </c>
      <c r="B747" s="38"/>
      <c r="C747" s="39"/>
      <c r="D747" s="39"/>
      <c r="E747" s="166"/>
      <c r="F747" s="38" t="s">
        <v>1759</v>
      </c>
      <c r="G747" s="39" t="s">
        <v>2315</v>
      </c>
      <c r="H747" s="109"/>
      <c r="I747" s="71"/>
    </row>
    <row r="748" spans="1:9" ht="13" x14ac:dyDescent="0.25">
      <c r="A748" s="122" t="s">
        <v>2321</v>
      </c>
      <c r="B748" s="38" t="s">
        <v>2317</v>
      </c>
      <c r="C748" s="39" t="s">
        <v>2318</v>
      </c>
      <c r="D748" s="39" t="s">
        <v>2320</v>
      </c>
      <c r="E748" s="166"/>
      <c r="F748" s="38" t="s">
        <v>644</v>
      </c>
      <c r="G748" s="39"/>
      <c r="H748" s="109"/>
      <c r="I748" s="71"/>
    </row>
    <row r="749" spans="1:9" ht="13" x14ac:dyDescent="0.25">
      <c r="A749" s="122" t="s">
        <v>2322</v>
      </c>
      <c r="B749" s="38"/>
      <c r="C749" s="39"/>
      <c r="D749" s="39"/>
      <c r="E749" s="166"/>
      <c r="F749" s="38" t="s">
        <v>679</v>
      </c>
      <c r="G749" s="39"/>
      <c r="H749" s="109"/>
      <c r="I749" s="71"/>
    </row>
    <row r="750" spans="1:9" ht="13" x14ac:dyDescent="0.25">
      <c r="A750" s="122" t="s">
        <v>2323</v>
      </c>
      <c r="B750" s="38"/>
      <c r="C750" s="39"/>
      <c r="D750" s="39"/>
      <c r="E750" s="166"/>
      <c r="F750" s="38" t="s">
        <v>710</v>
      </c>
      <c r="G750" s="39"/>
      <c r="H750" s="109"/>
      <c r="I750" s="71"/>
    </row>
    <row r="751" spans="1:9" ht="13" x14ac:dyDescent="0.25">
      <c r="A751" s="122" t="s">
        <v>2324</v>
      </c>
      <c r="B751" s="38"/>
      <c r="C751" s="39"/>
      <c r="D751" s="39"/>
      <c r="E751" s="166"/>
      <c r="F751" s="38" t="s">
        <v>2221</v>
      </c>
      <c r="G751" s="39"/>
      <c r="H751" s="109"/>
      <c r="I751" s="71"/>
    </row>
    <row r="752" spans="1:9" ht="13" x14ac:dyDescent="0.25">
      <c r="A752" s="122" t="s">
        <v>2325</v>
      </c>
      <c r="B752" s="38"/>
      <c r="C752" s="39"/>
      <c r="D752" s="39"/>
      <c r="E752" s="166"/>
      <c r="F752" s="38" t="s">
        <v>650</v>
      </c>
      <c r="G752" s="39"/>
      <c r="H752" s="109"/>
      <c r="I752" s="71"/>
    </row>
    <row r="753" spans="1:9" ht="13" x14ac:dyDescent="0.25">
      <c r="A753" s="122" t="s">
        <v>2326</v>
      </c>
      <c r="B753" s="38"/>
      <c r="C753" s="39"/>
      <c r="D753" s="39"/>
      <c r="E753" s="166"/>
      <c r="F753" s="38" t="s">
        <v>2327</v>
      </c>
      <c r="G753" s="39"/>
      <c r="H753" s="109"/>
      <c r="I753" s="71"/>
    </row>
    <row r="754" spans="1:9" ht="25" x14ac:dyDescent="0.25">
      <c r="A754" s="122" t="s">
        <v>2332</v>
      </c>
      <c r="B754" s="38" t="s">
        <v>2328</v>
      </c>
      <c r="C754" s="39" t="s">
        <v>2329</v>
      </c>
      <c r="D754" s="39" t="s">
        <v>2331</v>
      </c>
      <c r="E754" s="166"/>
      <c r="F754" s="38" t="s">
        <v>710</v>
      </c>
      <c r="G754" s="39"/>
      <c r="H754" s="71"/>
      <c r="I754" s="71"/>
    </row>
    <row r="755" spans="1:9" x14ac:dyDescent="0.25">
      <c r="A755" s="122" t="s">
        <v>2333</v>
      </c>
      <c r="B755" s="38"/>
      <c r="C755" s="39"/>
      <c r="D755" s="39"/>
      <c r="E755" s="166"/>
      <c r="F755" s="38" t="s">
        <v>2221</v>
      </c>
      <c r="G755" s="39"/>
      <c r="H755" s="73"/>
      <c r="I755" s="71"/>
    </row>
    <row r="756" spans="1:9" x14ac:dyDescent="0.25">
      <c r="A756" s="122" t="s">
        <v>2336</v>
      </c>
      <c r="B756" s="38"/>
      <c r="C756" s="39"/>
      <c r="D756" s="39" t="s">
        <v>2335</v>
      </c>
      <c r="E756" s="166"/>
      <c r="F756" s="38" t="s">
        <v>644</v>
      </c>
      <c r="G756" s="39"/>
      <c r="H756" s="73"/>
      <c r="I756" s="71"/>
    </row>
    <row r="757" spans="1:9" x14ac:dyDescent="0.25">
      <c r="A757" s="122" t="s">
        <v>2337</v>
      </c>
      <c r="B757" s="38"/>
      <c r="C757" s="39"/>
      <c r="D757" s="39"/>
      <c r="E757" s="166"/>
      <c r="F757" s="38" t="s">
        <v>1756</v>
      </c>
      <c r="G757" s="39"/>
      <c r="H757" s="73"/>
      <c r="I757" s="71"/>
    </row>
    <row r="758" spans="1:9" x14ac:dyDescent="0.25">
      <c r="A758" s="122" t="s">
        <v>2338</v>
      </c>
      <c r="B758" s="38"/>
      <c r="C758" s="39"/>
      <c r="D758" s="39"/>
      <c r="E758" s="166"/>
      <c r="F758" s="38" t="s">
        <v>650</v>
      </c>
      <c r="G758" s="39"/>
      <c r="H758" s="73"/>
      <c r="I758" s="71"/>
    </row>
    <row r="759" spans="1:9" x14ac:dyDescent="0.25">
      <c r="A759" s="122" t="s">
        <v>2339</v>
      </c>
      <c r="B759" s="38"/>
      <c r="C759" s="39"/>
      <c r="D759" s="39"/>
      <c r="E759" s="166"/>
      <c r="F759" s="38" t="s">
        <v>868</v>
      </c>
      <c r="G759" s="39"/>
      <c r="H759" s="73"/>
      <c r="I759" s="71"/>
    </row>
    <row r="760" spans="1:9" ht="13" x14ac:dyDescent="0.25">
      <c r="A760" s="122" t="s">
        <v>2344</v>
      </c>
      <c r="B760" s="38" t="s">
        <v>2340</v>
      </c>
      <c r="C760" s="39" t="s">
        <v>2341</v>
      </c>
      <c r="D760" s="39" t="s">
        <v>2343</v>
      </c>
      <c r="E760" s="166"/>
      <c r="F760" s="38" t="s">
        <v>2221</v>
      </c>
      <c r="G760" s="39"/>
      <c r="H760" s="109"/>
      <c r="I760" s="71"/>
    </row>
    <row r="761" spans="1:9" ht="13" x14ac:dyDescent="0.25">
      <c r="A761" s="122" t="s">
        <v>2347</v>
      </c>
      <c r="B761" s="38"/>
      <c r="C761" s="39"/>
      <c r="D761" s="39" t="s">
        <v>2346</v>
      </c>
      <c r="E761" s="166"/>
      <c r="F761" s="38" t="s">
        <v>1934</v>
      </c>
      <c r="G761" s="39"/>
      <c r="H761" s="109"/>
      <c r="I761" s="71"/>
    </row>
    <row r="762" spans="1:9" ht="13" x14ac:dyDescent="0.25">
      <c r="A762" s="122" t="s">
        <v>2348</v>
      </c>
      <c r="B762" s="38"/>
      <c r="C762" s="39"/>
      <c r="D762" s="39"/>
      <c r="E762" s="166"/>
      <c r="F762" s="38" t="s">
        <v>1936</v>
      </c>
      <c r="G762" s="39"/>
      <c r="H762" s="109"/>
      <c r="I762" s="71"/>
    </row>
    <row r="763" spans="1:9" ht="13" x14ac:dyDescent="0.25">
      <c r="A763" s="122" t="s">
        <v>2349</v>
      </c>
      <c r="B763" s="38"/>
      <c r="C763" s="39"/>
      <c r="D763" s="39"/>
      <c r="E763" s="166"/>
      <c r="F763" s="38" t="s">
        <v>2350</v>
      </c>
      <c r="G763" s="39"/>
      <c r="H763" s="109"/>
      <c r="I763" s="71"/>
    </row>
    <row r="764" spans="1:9" ht="13" x14ac:dyDescent="0.25">
      <c r="A764" s="122" t="s">
        <v>2354</v>
      </c>
      <c r="B764" s="38" t="s">
        <v>2351</v>
      </c>
      <c r="C764" s="39" t="s">
        <v>2352</v>
      </c>
      <c r="D764" s="39" t="s">
        <v>2343</v>
      </c>
      <c r="E764" s="166"/>
      <c r="F764" s="38" t="s">
        <v>2221</v>
      </c>
      <c r="G764" s="39"/>
      <c r="H764" s="109"/>
      <c r="I764" s="71"/>
    </row>
    <row r="765" spans="1:9" ht="13" x14ac:dyDescent="0.25">
      <c r="A765" s="122" t="s">
        <v>2356</v>
      </c>
      <c r="B765" s="38"/>
      <c r="C765" s="39"/>
      <c r="D765" s="39" t="s">
        <v>2346</v>
      </c>
      <c r="E765" s="166"/>
      <c r="F765" s="38" t="s">
        <v>1934</v>
      </c>
      <c r="G765" s="39"/>
      <c r="H765" s="109"/>
      <c r="I765" s="71"/>
    </row>
    <row r="766" spans="1:9" ht="13" x14ac:dyDescent="0.25">
      <c r="A766" s="122" t="s">
        <v>2357</v>
      </c>
      <c r="B766" s="38"/>
      <c r="C766" s="39"/>
      <c r="D766" s="39"/>
      <c r="E766" s="166"/>
      <c r="F766" s="38" t="s">
        <v>1936</v>
      </c>
      <c r="G766" s="39"/>
      <c r="H766" s="109"/>
      <c r="I766" s="71"/>
    </row>
    <row r="767" spans="1:9" ht="13" x14ac:dyDescent="0.25">
      <c r="A767" s="122" t="s">
        <v>2358</v>
      </c>
      <c r="B767" s="38"/>
      <c r="C767" s="39"/>
      <c r="D767" s="39"/>
      <c r="E767" s="166"/>
      <c r="F767" s="38" t="s">
        <v>2359</v>
      </c>
      <c r="G767" s="39"/>
      <c r="H767" s="109"/>
      <c r="I767" s="71"/>
    </row>
    <row r="768" spans="1:9" ht="13" x14ac:dyDescent="0.25">
      <c r="A768" s="122" t="s">
        <v>2360</v>
      </c>
      <c r="B768" s="38"/>
      <c r="C768" s="39"/>
      <c r="D768" s="39"/>
      <c r="E768" s="166"/>
      <c r="F768" s="38" t="s">
        <v>2361</v>
      </c>
      <c r="G768" s="39"/>
      <c r="H768" s="109"/>
      <c r="I768" s="71"/>
    </row>
    <row r="769" spans="1:9" ht="13" x14ac:dyDescent="0.25">
      <c r="A769" s="122" t="s">
        <v>2362</v>
      </c>
      <c r="B769" s="38"/>
      <c r="C769" s="39"/>
      <c r="D769" s="39"/>
      <c r="E769" s="166"/>
      <c r="F769" s="38" t="s">
        <v>2363</v>
      </c>
      <c r="G769" s="39"/>
      <c r="H769" s="109"/>
      <c r="I769" s="71"/>
    </row>
    <row r="770" spans="1:9" ht="13" x14ac:dyDescent="0.25">
      <c r="A770" s="122" t="s">
        <v>2364</v>
      </c>
      <c r="B770" s="38"/>
      <c r="C770" s="39"/>
      <c r="D770" s="39"/>
      <c r="E770" s="166"/>
      <c r="F770" s="38" t="s">
        <v>1137</v>
      </c>
      <c r="G770" s="39"/>
      <c r="H770" s="109"/>
      <c r="I770" s="71"/>
    </row>
    <row r="771" spans="1:9" ht="13" x14ac:dyDescent="0.25">
      <c r="A771" s="122" t="s">
        <v>2365</v>
      </c>
      <c r="B771" s="38"/>
      <c r="C771" s="39"/>
      <c r="D771" s="39"/>
      <c r="E771" s="166"/>
      <c r="F771" s="38" t="s">
        <v>870</v>
      </c>
      <c r="G771" s="39"/>
      <c r="H771" s="109"/>
      <c r="I771" s="71"/>
    </row>
    <row r="772" spans="1:9" ht="13" x14ac:dyDescent="0.25">
      <c r="A772" s="122" t="s">
        <v>2366</v>
      </c>
      <c r="B772" s="38"/>
      <c r="C772" s="39"/>
      <c r="D772" s="39"/>
      <c r="E772" s="166"/>
      <c r="F772" s="38" t="s">
        <v>2367</v>
      </c>
      <c r="G772" s="39"/>
      <c r="H772" s="109"/>
      <c r="I772" s="71"/>
    </row>
    <row r="773" spans="1:9" ht="13" x14ac:dyDescent="0.25">
      <c r="A773" s="122" t="s">
        <v>2368</v>
      </c>
      <c r="B773" s="38"/>
      <c r="C773" s="39"/>
      <c r="D773" s="39"/>
      <c r="E773" s="166"/>
      <c r="F773" s="38" t="s">
        <v>897</v>
      </c>
      <c r="G773" s="39"/>
      <c r="H773" s="110"/>
      <c r="I773" s="71"/>
    </row>
    <row r="774" spans="1:9" ht="13" x14ac:dyDescent="0.25">
      <c r="A774" s="122" t="s">
        <v>2372</v>
      </c>
      <c r="B774" s="74" t="s">
        <v>2148</v>
      </c>
      <c r="C774" s="74" t="s">
        <v>2369</v>
      </c>
      <c r="D774" s="39" t="s">
        <v>2371</v>
      </c>
      <c r="E774" s="166"/>
      <c r="F774" s="38" t="s">
        <v>1137</v>
      </c>
      <c r="G774" s="39"/>
      <c r="H774" s="111" t="s">
        <v>316</v>
      </c>
      <c r="I774" s="75" t="s">
        <v>319</v>
      </c>
    </row>
    <row r="775" spans="1:9" ht="13" x14ac:dyDescent="0.25">
      <c r="A775" s="122" t="s">
        <v>2373</v>
      </c>
      <c r="B775" s="76"/>
      <c r="C775" s="77"/>
      <c r="D775" s="39"/>
      <c r="E775" s="166"/>
      <c r="F775" s="38" t="s">
        <v>1272</v>
      </c>
      <c r="G775" s="39"/>
      <c r="H775" s="111"/>
      <c r="I775" s="75" t="s">
        <v>322</v>
      </c>
    </row>
    <row r="776" spans="1:9" ht="25.5" x14ac:dyDescent="0.3">
      <c r="A776" s="122" t="s">
        <v>2375</v>
      </c>
      <c r="B776" s="78"/>
      <c r="C776" s="77"/>
      <c r="D776" s="39" t="s">
        <v>715</v>
      </c>
      <c r="E776" s="166"/>
      <c r="F776" s="127" t="s">
        <v>694</v>
      </c>
      <c r="G776" s="39" t="s">
        <v>692</v>
      </c>
      <c r="H776" s="112"/>
      <c r="I776" s="75" t="s">
        <v>325</v>
      </c>
    </row>
    <row r="777" spans="1:9" ht="13" x14ac:dyDescent="0.25">
      <c r="A777" s="122" t="s">
        <v>2377</v>
      </c>
      <c r="B777" s="78"/>
      <c r="C777" s="77"/>
      <c r="D777" s="39" t="s">
        <v>765</v>
      </c>
      <c r="E777" s="166"/>
      <c r="F777" s="38" t="s">
        <v>772</v>
      </c>
      <c r="G777" s="39"/>
      <c r="H777" s="112"/>
      <c r="I777" s="79" t="s">
        <v>328</v>
      </c>
    </row>
    <row r="778" spans="1:9" ht="13" x14ac:dyDescent="0.25">
      <c r="A778" s="122" t="s">
        <v>2378</v>
      </c>
      <c r="B778" s="80"/>
      <c r="C778" s="81"/>
      <c r="D778" s="39"/>
      <c r="E778" s="166"/>
      <c r="F778" s="38" t="s">
        <v>770</v>
      </c>
      <c r="G778" s="39"/>
      <c r="H778" s="112"/>
      <c r="I778" s="79" t="s">
        <v>331</v>
      </c>
    </row>
    <row r="779" spans="1:9" ht="13" x14ac:dyDescent="0.25">
      <c r="A779" s="122" t="s">
        <v>2381</v>
      </c>
      <c r="B779" s="74" t="s">
        <v>2379</v>
      </c>
      <c r="C779" s="74"/>
      <c r="D779" s="39" t="s">
        <v>2371</v>
      </c>
      <c r="E779" s="166"/>
      <c r="F779" s="38" t="s">
        <v>2221</v>
      </c>
      <c r="G779" s="39"/>
      <c r="H779" s="112"/>
      <c r="I779" s="75" t="s">
        <v>334</v>
      </c>
    </row>
    <row r="780" spans="1:9" ht="13" x14ac:dyDescent="0.25">
      <c r="A780" s="122" t="s">
        <v>2382</v>
      </c>
      <c r="B780" s="76"/>
      <c r="C780" s="77"/>
      <c r="D780" s="39"/>
      <c r="E780" s="166"/>
      <c r="F780" s="38" t="s">
        <v>1137</v>
      </c>
      <c r="G780" s="39"/>
      <c r="H780" s="112"/>
      <c r="I780" s="79" t="s">
        <v>337</v>
      </c>
    </row>
    <row r="781" spans="1:9" ht="13" x14ac:dyDescent="0.25">
      <c r="A781" s="122" t="s">
        <v>2383</v>
      </c>
      <c r="B781" s="76"/>
      <c r="C781" s="77"/>
      <c r="D781" s="39"/>
      <c r="E781" s="166"/>
      <c r="F781" s="38" t="s">
        <v>1272</v>
      </c>
      <c r="G781" s="39"/>
      <c r="H781" s="112"/>
      <c r="I781" s="82" t="s">
        <v>340</v>
      </c>
    </row>
    <row r="782" spans="1:9" ht="13" x14ac:dyDescent="0.25">
      <c r="A782" s="122" t="s">
        <v>2386</v>
      </c>
      <c r="B782" s="78"/>
      <c r="C782" s="77"/>
      <c r="D782" s="39" t="s">
        <v>2385</v>
      </c>
      <c r="E782" s="166"/>
      <c r="F782" s="38" t="s">
        <v>2387</v>
      </c>
      <c r="G782" s="39"/>
      <c r="H782" s="112"/>
      <c r="I782" s="83" t="s">
        <v>343</v>
      </c>
    </row>
    <row r="783" spans="1:9" ht="13" x14ac:dyDescent="0.25">
      <c r="A783" s="122" t="s">
        <v>2388</v>
      </c>
      <c r="B783" s="78"/>
      <c r="C783" s="77"/>
      <c r="D783" s="39"/>
      <c r="E783" s="166"/>
      <c r="F783" s="38" t="s">
        <v>2389</v>
      </c>
      <c r="G783" s="39"/>
      <c r="H783" s="112"/>
      <c r="I783" s="83" t="s">
        <v>345</v>
      </c>
    </row>
    <row r="784" spans="1:9" ht="25" x14ac:dyDescent="0.25">
      <c r="A784" s="122" t="s">
        <v>2393</v>
      </c>
      <c r="B784" s="78"/>
      <c r="C784" s="77"/>
      <c r="D784" s="39" t="s">
        <v>2391</v>
      </c>
      <c r="E784" s="166" t="s">
        <v>2392</v>
      </c>
      <c r="F784" s="38" t="s">
        <v>644</v>
      </c>
      <c r="G784" s="39"/>
      <c r="H784" s="112"/>
      <c r="I784" s="75"/>
    </row>
    <row r="785" spans="1:9" ht="13" x14ac:dyDescent="0.25">
      <c r="A785" s="122" t="s">
        <v>2394</v>
      </c>
      <c r="B785" s="78"/>
      <c r="C785" s="77"/>
      <c r="D785" s="39"/>
      <c r="E785" s="166"/>
      <c r="F785" s="38" t="s">
        <v>650</v>
      </c>
      <c r="G785" s="39"/>
      <c r="H785" s="112"/>
      <c r="I785" s="79"/>
    </row>
    <row r="786" spans="1:9" ht="13" x14ac:dyDescent="0.25">
      <c r="A786" s="122" t="s">
        <v>2395</v>
      </c>
      <c r="B786" s="78"/>
      <c r="C786" s="77"/>
      <c r="D786" s="39"/>
      <c r="E786" s="166"/>
      <c r="F786" s="38" t="s">
        <v>880</v>
      </c>
      <c r="G786" s="39"/>
      <c r="H786" s="112"/>
      <c r="I786" s="79"/>
    </row>
    <row r="787" spans="1:9" ht="13" x14ac:dyDescent="0.25">
      <c r="A787" s="122" t="s">
        <v>2396</v>
      </c>
      <c r="B787" s="78"/>
      <c r="C787" s="77"/>
      <c r="D787" s="39"/>
      <c r="E787" s="166"/>
      <c r="F787" s="38" t="s">
        <v>1703</v>
      </c>
      <c r="G787" s="39"/>
      <c r="H787" s="112"/>
      <c r="I787" s="79"/>
    </row>
    <row r="788" spans="1:9" ht="13" x14ac:dyDescent="0.25">
      <c r="A788" s="122" t="s">
        <v>2399</v>
      </c>
      <c r="B788" s="78"/>
      <c r="C788" s="77"/>
      <c r="D788" s="39" t="s">
        <v>64</v>
      </c>
      <c r="E788" s="166" t="s">
        <v>2398</v>
      </c>
      <c r="F788" s="38" t="s">
        <v>1756</v>
      </c>
      <c r="G788" s="39"/>
      <c r="H788" s="112"/>
      <c r="I788" s="79"/>
    </row>
    <row r="789" spans="1:9" ht="13" x14ac:dyDescent="0.25">
      <c r="A789" s="122" t="s">
        <v>2400</v>
      </c>
      <c r="B789" s="78"/>
      <c r="C789" s="77"/>
      <c r="D789" s="39"/>
      <c r="E789" s="166"/>
      <c r="F789" s="38" t="s">
        <v>1759</v>
      </c>
      <c r="G789" s="39"/>
      <c r="H789" s="112"/>
      <c r="I789" s="79"/>
    </row>
    <row r="790" spans="1:9" ht="13" x14ac:dyDescent="0.25">
      <c r="A790" s="122" t="s">
        <v>2404</v>
      </c>
      <c r="B790" s="78"/>
      <c r="C790" s="77"/>
      <c r="D790" s="39" t="s">
        <v>2402</v>
      </c>
      <c r="E790" s="254" t="s">
        <v>2403</v>
      </c>
      <c r="F790" s="38" t="s">
        <v>870</v>
      </c>
      <c r="G790" s="39"/>
      <c r="H790" s="112"/>
      <c r="I790" s="79"/>
    </row>
    <row r="791" spans="1:9" ht="13" x14ac:dyDescent="0.25">
      <c r="A791" s="122" t="s">
        <v>2405</v>
      </c>
      <c r="B791" s="78"/>
      <c r="C791" s="77"/>
      <c r="D791" s="39"/>
      <c r="E791" s="254"/>
      <c r="F791" s="38" t="s">
        <v>2406</v>
      </c>
      <c r="G791" s="39"/>
      <c r="H791" s="112"/>
      <c r="I791" s="79"/>
    </row>
    <row r="792" spans="1:9" ht="13" x14ac:dyDescent="0.25">
      <c r="A792" s="122" t="s">
        <v>2407</v>
      </c>
      <c r="B792" s="78"/>
      <c r="C792" s="77"/>
      <c r="D792" s="39"/>
      <c r="E792" s="166"/>
      <c r="F792" s="38" t="s">
        <v>2408</v>
      </c>
      <c r="G792" s="39"/>
      <c r="H792" s="112"/>
      <c r="I792" s="79"/>
    </row>
    <row r="793" spans="1:9" ht="13" x14ac:dyDescent="0.25">
      <c r="A793" s="122" t="s">
        <v>2409</v>
      </c>
      <c r="B793" s="78"/>
      <c r="C793" s="77"/>
      <c r="D793" s="39"/>
      <c r="E793" s="166"/>
      <c r="F793" s="38" t="s">
        <v>2363</v>
      </c>
      <c r="G793" s="39"/>
      <c r="H793" s="112"/>
      <c r="I793" s="79"/>
    </row>
    <row r="794" spans="1:9" ht="13" x14ac:dyDescent="0.25">
      <c r="A794" s="122" t="s">
        <v>2410</v>
      </c>
      <c r="B794" s="78"/>
      <c r="C794" s="77"/>
      <c r="D794" s="39"/>
      <c r="E794" s="166"/>
      <c r="F794" s="38" t="s">
        <v>781</v>
      </c>
      <c r="G794" s="39"/>
      <c r="H794" s="112"/>
      <c r="I794" s="79"/>
    </row>
    <row r="795" spans="1:9" ht="13" x14ac:dyDescent="0.25">
      <c r="A795" s="122" t="s">
        <v>2411</v>
      </c>
      <c r="B795" s="78"/>
      <c r="C795" s="77"/>
      <c r="D795" s="39"/>
      <c r="E795" s="166"/>
      <c r="F795" s="38" t="s">
        <v>2367</v>
      </c>
      <c r="G795" s="39"/>
      <c r="H795" s="112"/>
      <c r="I795" s="79"/>
    </row>
    <row r="796" spans="1:9" ht="13" x14ac:dyDescent="0.25">
      <c r="A796" s="122" t="s">
        <v>2412</v>
      </c>
      <c r="B796" s="78"/>
      <c r="C796" s="77"/>
      <c r="D796" s="39"/>
      <c r="E796" s="166"/>
      <c r="F796" s="38" t="s">
        <v>897</v>
      </c>
      <c r="G796" s="39"/>
      <c r="H796" s="112"/>
      <c r="I796" s="79"/>
    </row>
    <row r="797" spans="1:9" ht="13" x14ac:dyDescent="0.3">
      <c r="A797" s="122" t="s">
        <v>2416</v>
      </c>
      <c r="B797" s="167" t="s">
        <v>2413</v>
      </c>
      <c r="C797" s="243" t="s">
        <v>2414</v>
      </c>
      <c r="D797" s="39" t="s">
        <v>58</v>
      </c>
      <c r="E797" s="166"/>
      <c r="F797" s="127" t="s">
        <v>2417</v>
      </c>
      <c r="G797" s="39" t="s">
        <v>2418</v>
      </c>
      <c r="H797" s="112"/>
      <c r="I797" s="82"/>
    </row>
    <row r="798" spans="1:9" ht="13" x14ac:dyDescent="0.3">
      <c r="A798" s="122" t="s">
        <v>2420</v>
      </c>
      <c r="B798" s="168"/>
      <c r="C798" s="244"/>
      <c r="D798" s="39" t="s">
        <v>61</v>
      </c>
      <c r="E798" s="166"/>
      <c r="F798" s="127" t="s">
        <v>2421</v>
      </c>
      <c r="G798" s="39" t="s">
        <v>2418</v>
      </c>
      <c r="H798" s="112"/>
      <c r="I798" s="75"/>
    </row>
    <row r="799" spans="1:9" ht="13" x14ac:dyDescent="0.25">
      <c r="A799" s="122" t="s">
        <v>2423</v>
      </c>
      <c r="B799" s="173"/>
      <c r="C799" s="81"/>
      <c r="D799" s="39" t="s">
        <v>2391</v>
      </c>
      <c r="E799" s="166"/>
      <c r="F799" s="38" t="s">
        <v>1137</v>
      </c>
      <c r="G799" s="39" t="s">
        <v>2424</v>
      </c>
      <c r="H799" s="112"/>
      <c r="I799" s="79"/>
    </row>
    <row r="800" spans="1:9" ht="13" x14ac:dyDescent="0.3">
      <c r="A800" s="122" t="s">
        <v>2428</v>
      </c>
      <c r="B800" s="84" t="s">
        <v>2425</v>
      </c>
      <c r="C800" s="243" t="s">
        <v>2426</v>
      </c>
      <c r="D800" s="39" t="s">
        <v>61</v>
      </c>
      <c r="E800" s="166"/>
      <c r="F800" s="127" t="s">
        <v>2421</v>
      </c>
      <c r="G800" s="39" t="s">
        <v>2418</v>
      </c>
      <c r="H800" s="112"/>
      <c r="I800" s="79"/>
    </row>
    <row r="801" spans="1:9" ht="13" x14ac:dyDescent="0.25">
      <c r="A801" s="122" t="s">
        <v>2430</v>
      </c>
      <c r="B801" s="78"/>
      <c r="C801" s="244"/>
      <c r="D801" s="39" t="s">
        <v>2391</v>
      </c>
      <c r="E801" s="166"/>
      <c r="F801" s="38" t="s">
        <v>1137</v>
      </c>
      <c r="G801" s="39" t="s">
        <v>2424</v>
      </c>
      <c r="H801" s="112"/>
      <c r="I801" s="82"/>
    </row>
    <row r="802" spans="1:9" ht="13" x14ac:dyDescent="0.25">
      <c r="A802" s="122" t="s">
        <v>2432</v>
      </c>
      <c r="B802" s="78"/>
      <c r="C802" s="77"/>
      <c r="D802" s="39" t="s">
        <v>64</v>
      </c>
      <c r="E802" s="166"/>
      <c r="F802" s="38" t="s">
        <v>1756</v>
      </c>
      <c r="G802" s="39" t="s">
        <v>2315</v>
      </c>
      <c r="H802" s="112"/>
      <c r="I802" s="75"/>
    </row>
    <row r="803" spans="1:9" ht="13" x14ac:dyDescent="0.25">
      <c r="A803" s="122" t="s">
        <v>2433</v>
      </c>
      <c r="B803" s="78"/>
      <c r="C803" s="77"/>
      <c r="D803" s="39"/>
      <c r="E803" s="166"/>
      <c r="F803" s="38" t="s">
        <v>1759</v>
      </c>
      <c r="G803" s="39" t="s">
        <v>2315</v>
      </c>
      <c r="H803" s="112"/>
      <c r="I803" s="75"/>
    </row>
    <row r="804" spans="1:9" ht="13" x14ac:dyDescent="0.25">
      <c r="A804" s="122" t="s">
        <v>2437</v>
      </c>
      <c r="B804" s="78"/>
      <c r="C804" s="77"/>
      <c r="D804" s="39" t="s">
        <v>2435</v>
      </c>
      <c r="E804" s="166" t="s">
        <v>2436</v>
      </c>
      <c r="F804" s="38" t="s">
        <v>650</v>
      </c>
      <c r="G804" s="39"/>
      <c r="H804" s="112"/>
      <c r="I804" s="79"/>
    </row>
    <row r="805" spans="1:9" ht="13" x14ac:dyDescent="0.25">
      <c r="A805" s="122" t="s">
        <v>2438</v>
      </c>
      <c r="B805" s="80"/>
      <c r="C805" s="81"/>
      <c r="D805" s="39"/>
      <c r="E805" s="166"/>
      <c r="F805" s="38" t="s">
        <v>2439</v>
      </c>
      <c r="G805" s="39"/>
      <c r="H805" s="112"/>
      <c r="I805" s="79"/>
    </row>
    <row r="806" spans="1:9" ht="25.4" customHeight="1" x14ac:dyDescent="0.3">
      <c r="A806" s="122" t="s">
        <v>2443</v>
      </c>
      <c r="B806" s="46" t="s">
        <v>2440</v>
      </c>
      <c r="C806" s="243" t="s">
        <v>2441</v>
      </c>
      <c r="D806" s="39" t="s">
        <v>61</v>
      </c>
      <c r="E806" s="166"/>
      <c r="F806" s="127" t="s">
        <v>2421</v>
      </c>
      <c r="G806" s="39" t="s">
        <v>2418</v>
      </c>
      <c r="H806" s="112"/>
      <c r="I806" s="79"/>
    </row>
    <row r="807" spans="1:9" ht="13" x14ac:dyDescent="0.25">
      <c r="A807" s="122" t="s">
        <v>2445</v>
      </c>
      <c r="B807" s="47"/>
      <c r="C807" s="244"/>
      <c r="D807" s="39" t="s">
        <v>2391</v>
      </c>
      <c r="E807" s="166"/>
      <c r="F807" s="38" t="s">
        <v>1137</v>
      </c>
      <c r="G807" s="39" t="s">
        <v>2424</v>
      </c>
      <c r="H807" s="112"/>
      <c r="I807" s="79"/>
    </row>
    <row r="808" spans="1:9" ht="13" x14ac:dyDescent="0.25">
      <c r="A808" s="122" t="s">
        <v>2447</v>
      </c>
      <c r="B808" s="47"/>
      <c r="C808" s="77"/>
      <c r="D808" s="39" t="s">
        <v>64</v>
      </c>
      <c r="E808" s="166"/>
      <c r="F808" s="38" t="s">
        <v>1756</v>
      </c>
      <c r="G808" s="39" t="s">
        <v>2315</v>
      </c>
      <c r="H808" s="112"/>
      <c r="I808" s="82"/>
    </row>
    <row r="809" spans="1:9" ht="13" x14ac:dyDescent="0.25">
      <c r="A809" s="122" t="s">
        <v>2448</v>
      </c>
      <c r="B809" s="47"/>
      <c r="C809" s="77"/>
      <c r="D809" s="39"/>
      <c r="E809" s="166"/>
      <c r="F809" s="38" t="s">
        <v>1759</v>
      </c>
      <c r="G809" s="39" t="s">
        <v>2315</v>
      </c>
      <c r="H809" s="112"/>
      <c r="I809" s="79"/>
    </row>
    <row r="810" spans="1:9" ht="13" x14ac:dyDescent="0.25">
      <c r="A810" s="122" t="s">
        <v>2452</v>
      </c>
      <c r="B810" s="47"/>
      <c r="C810" s="77"/>
      <c r="D810" s="39" t="s">
        <v>2450</v>
      </c>
      <c r="E810" s="166" t="s">
        <v>2451</v>
      </c>
      <c r="F810" s="38" t="s">
        <v>2035</v>
      </c>
      <c r="G810" s="39"/>
      <c r="H810" s="112"/>
      <c r="I810" s="75"/>
    </row>
    <row r="811" spans="1:9" ht="13" x14ac:dyDescent="0.25">
      <c r="A811" s="122" t="s">
        <v>2453</v>
      </c>
      <c r="B811" s="47"/>
      <c r="C811" s="77"/>
      <c r="D811" s="39"/>
      <c r="E811" s="166"/>
      <c r="F811" s="38" t="s">
        <v>650</v>
      </c>
      <c r="G811" s="39"/>
      <c r="H811" s="112"/>
      <c r="I811" s="79"/>
    </row>
    <row r="812" spans="1:9" ht="13" x14ac:dyDescent="0.25">
      <c r="A812" s="122" t="s">
        <v>2454</v>
      </c>
      <c r="B812" s="47"/>
      <c r="C812" s="77"/>
      <c r="D812" s="39"/>
      <c r="E812" s="166"/>
      <c r="F812" s="38" t="s">
        <v>1220</v>
      </c>
      <c r="G812" s="39"/>
      <c r="H812" s="112"/>
      <c r="I812" s="79"/>
    </row>
    <row r="813" spans="1:9" ht="13" x14ac:dyDescent="0.25">
      <c r="A813" s="122" t="s">
        <v>2458</v>
      </c>
      <c r="B813" s="47"/>
      <c r="C813" s="77"/>
      <c r="D813" s="39" t="s">
        <v>2456</v>
      </c>
      <c r="E813" s="166" t="s">
        <v>2457</v>
      </c>
      <c r="F813" s="38" t="s">
        <v>644</v>
      </c>
      <c r="G813" s="39"/>
      <c r="H813" s="112"/>
      <c r="I813" s="79"/>
    </row>
    <row r="814" spans="1:9" ht="13" x14ac:dyDescent="0.25">
      <c r="A814" s="122" t="s">
        <v>2459</v>
      </c>
      <c r="B814" s="47"/>
      <c r="C814" s="77"/>
      <c r="D814" s="39"/>
      <c r="E814" s="166"/>
      <c r="F814" s="38" t="s">
        <v>650</v>
      </c>
      <c r="G814" s="39"/>
      <c r="H814" s="112"/>
      <c r="I814" s="79"/>
    </row>
    <row r="815" spans="1:9" ht="13" x14ac:dyDescent="0.25">
      <c r="A815" s="122" t="s">
        <v>2460</v>
      </c>
      <c r="B815" s="47"/>
      <c r="C815" s="77"/>
      <c r="D815" s="39"/>
      <c r="E815" s="166"/>
      <c r="F815" s="38" t="s">
        <v>2031</v>
      </c>
      <c r="G815" s="39"/>
      <c r="H815" s="112"/>
      <c r="I815" s="79"/>
    </row>
    <row r="816" spans="1:9" ht="13" x14ac:dyDescent="0.25">
      <c r="A816" s="122" t="s">
        <v>2461</v>
      </c>
      <c r="B816" s="85"/>
      <c r="C816" s="81"/>
      <c r="D816" s="39"/>
      <c r="E816" s="166"/>
      <c r="F816" s="38" t="s">
        <v>1220</v>
      </c>
      <c r="G816" s="39"/>
      <c r="H816" s="112"/>
      <c r="I816" s="79"/>
    </row>
    <row r="817" spans="1:9" ht="25" x14ac:dyDescent="0.25">
      <c r="A817" s="122" t="s">
        <v>2465</v>
      </c>
      <c r="B817" s="167" t="s">
        <v>2462</v>
      </c>
      <c r="C817" s="74" t="s">
        <v>2463</v>
      </c>
      <c r="D817" s="39" t="s">
        <v>2371</v>
      </c>
      <c r="E817" s="166"/>
      <c r="F817" s="38" t="s">
        <v>1137</v>
      </c>
      <c r="G817" s="39"/>
      <c r="H817" s="112"/>
      <c r="I817" s="79"/>
    </row>
    <row r="818" spans="1:9" ht="13" x14ac:dyDescent="0.25">
      <c r="A818" s="122" t="s">
        <v>2466</v>
      </c>
      <c r="B818" s="168"/>
      <c r="C818" s="77"/>
      <c r="D818" s="39"/>
      <c r="E818" s="166"/>
      <c r="F818" s="38" t="s">
        <v>1272</v>
      </c>
      <c r="G818" s="39"/>
      <c r="H818" s="112"/>
      <c r="I818" s="79"/>
    </row>
    <row r="819" spans="1:9" ht="13" x14ac:dyDescent="0.25">
      <c r="A819" s="122" t="s">
        <v>2467</v>
      </c>
      <c r="B819" s="168"/>
      <c r="C819" s="77"/>
      <c r="D819" s="39"/>
      <c r="E819" s="166"/>
      <c r="F819" s="38" t="s">
        <v>2221</v>
      </c>
      <c r="G819" s="39"/>
      <c r="H819" s="112"/>
      <c r="I819" s="79"/>
    </row>
    <row r="820" spans="1:9" ht="13" x14ac:dyDescent="0.25">
      <c r="A820" s="122" t="s">
        <v>2469</v>
      </c>
      <c r="B820" s="168"/>
      <c r="C820" s="77"/>
      <c r="D820" s="39" t="s">
        <v>2385</v>
      </c>
      <c r="E820" s="166"/>
      <c r="F820" s="38" t="s">
        <v>2387</v>
      </c>
      <c r="G820" s="39"/>
      <c r="H820" s="112"/>
      <c r="I820" s="79"/>
    </row>
    <row r="821" spans="1:9" ht="13" x14ac:dyDescent="0.25">
      <c r="A821" s="122" t="s">
        <v>2470</v>
      </c>
      <c r="B821" s="168"/>
      <c r="C821" s="77"/>
      <c r="D821" s="39"/>
      <c r="E821" s="166"/>
      <c r="F821" s="38" t="s">
        <v>2389</v>
      </c>
      <c r="G821" s="39"/>
      <c r="H821" s="112"/>
      <c r="I821" s="79"/>
    </row>
    <row r="822" spans="1:9" ht="13" x14ac:dyDescent="0.3">
      <c r="A822" s="122" t="s">
        <v>2472</v>
      </c>
      <c r="B822" s="168"/>
      <c r="C822" s="77"/>
      <c r="D822" s="39" t="s">
        <v>58</v>
      </c>
      <c r="E822" s="166"/>
      <c r="F822" s="127" t="s">
        <v>2417</v>
      </c>
      <c r="G822" s="39" t="s">
        <v>2418</v>
      </c>
      <c r="H822" s="112"/>
      <c r="I822" s="79"/>
    </row>
    <row r="823" spans="1:9" ht="13" x14ac:dyDescent="0.3">
      <c r="A823" s="122" t="s">
        <v>2474</v>
      </c>
      <c r="B823" s="168"/>
      <c r="C823" s="77"/>
      <c r="D823" s="39" t="s">
        <v>61</v>
      </c>
      <c r="E823" s="166"/>
      <c r="F823" s="127" t="s">
        <v>2421</v>
      </c>
      <c r="G823" s="39" t="s">
        <v>2418</v>
      </c>
      <c r="H823" s="112"/>
      <c r="I823" s="75"/>
    </row>
    <row r="824" spans="1:9" ht="13" x14ac:dyDescent="0.25">
      <c r="A824" s="122" t="s">
        <v>2476</v>
      </c>
      <c r="B824" s="173"/>
      <c r="C824" s="81"/>
      <c r="D824" s="39" t="s">
        <v>2391</v>
      </c>
      <c r="E824" s="166"/>
      <c r="F824" s="38" t="s">
        <v>1137</v>
      </c>
      <c r="G824" s="39" t="s">
        <v>2424</v>
      </c>
      <c r="H824" s="112"/>
      <c r="I824" s="75"/>
    </row>
    <row r="825" spans="1:9" ht="25" x14ac:dyDescent="0.25">
      <c r="A825" s="122" t="s">
        <v>2480</v>
      </c>
      <c r="B825" s="46" t="s">
        <v>2477</v>
      </c>
      <c r="C825" s="74" t="s">
        <v>2478</v>
      </c>
      <c r="D825" s="39" t="s">
        <v>2371</v>
      </c>
      <c r="E825" s="166"/>
      <c r="F825" s="38" t="s">
        <v>1137</v>
      </c>
      <c r="G825" s="39"/>
      <c r="H825" s="112"/>
      <c r="I825" s="75"/>
    </row>
    <row r="826" spans="1:9" ht="13" x14ac:dyDescent="0.25">
      <c r="A826" s="122" t="s">
        <v>2481</v>
      </c>
      <c r="B826" s="47"/>
      <c r="C826" s="77"/>
      <c r="D826" s="39"/>
      <c r="E826" s="166"/>
      <c r="F826" s="38" t="s">
        <v>1272</v>
      </c>
      <c r="G826" s="39"/>
      <c r="H826" s="112"/>
      <c r="I826" s="79"/>
    </row>
    <row r="827" spans="1:9" ht="13" x14ac:dyDescent="0.25">
      <c r="A827" s="122" t="s">
        <v>2482</v>
      </c>
      <c r="B827" s="47"/>
      <c r="C827" s="77"/>
      <c r="D827" s="39"/>
      <c r="E827" s="166"/>
      <c r="F827" s="38" t="s">
        <v>2221</v>
      </c>
      <c r="G827" s="39"/>
      <c r="H827" s="112"/>
      <c r="I827" s="79"/>
    </row>
    <row r="828" spans="1:9" ht="13" x14ac:dyDescent="0.25">
      <c r="A828" s="122" t="s">
        <v>2484</v>
      </c>
      <c r="B828" s="47"/>
      <c r="C828" s="77"/>
      <c r="D828" s="39" t="s">
        <v>2385</v>
      </c>
      <c r="E828" s="166"/>
      <c r="F828" s="38" t="s">
        <v>2387</v>
      </c>
      <c r="G828" s="39"/>
      <c r="H828" s="112"/>
      <c r="I828" s="79"/>
    </row>
    <row r="829" spans="1:9" ht="13" x14ac:dyDescent="0.25">
      <c r="A829" s="122" t="s">
        <v>2485</v>
      </c>
      <c r="B829" s="47"/>
      <c r="C829" s="77"/>
      <c r="D829" s="39"/>
      <c r="E829" s="166"/>
      <c r="F829" s="38" t="s">
        <v>2389</v>
      </c>
      <c r="G829" s="39"/>
      <c r="H829" s="112"/>
      <c r="I829" s="79"/>
    </row>
    <row r="830" spans="1:9" ht="13" x14ac:dyDescent="0.3">
      <c r="A830" s="122" t="s">
        <v>2487</v>
      </c>
      <c r="B830" s="47"/>
      <c r="C830" s="77"/>
      <c r="D830" s="39" t="s">
        <v>61</v>
      </c>
      <c r="E830" s="166"/>
      <c r="F830" s="127" t="s">
        <v>2421</v>
      </c>
      <c r="G830" s="39" t="s">
        <v>2418</v>
      </c>
      <c r="H830" s="112"/>
      <c r="I830" s="79"/>
    </row>
    <row r="831" spans="1:9" ht="13" x14ac:dyDescent="0.25">
      <c r="A831" s="122" t="s">
        <v>2489</v>
      </c>
      <c r="B831" s="47"/>
      <c r="C831" s="77"/>
      <c r="D831" s="39" t="s">
        <v>2391</v>
      </c>
      <c r="E831" s="166"/>
      <c r="F831" s="38" t="s">
        <v>1137</v>
      </c>
      <c r="G831" s="39" t="s">
        <v>2424</v>
      </c>
      <c r="H831" s="112"/>
      <c r="I831" s="79"/>
    </row>
    <row r="832" spans="1:9" ht="13" x14ac:dyDescent="0.25">
      <c r="A832" s="122" t="s">
        <v>2491</v>
      </c>
      <c r="B832" s="47"/>
      <c r="C832" s="77"/>
      <c r="D832" s="39" t="s">
        <v>64</v>
      </c>
      <c r="E832" s="166"/>
      <c r="F832" s="38" t="s">
        <v>1756</v>
      </c>
      <c r="G832" s="39" t="s">
        <v>2315</v>
      </c>
      <c r="H832" s="112"/>
      <c r="I832" s="79"/>
    </row>
    <row r="833" spans="1:9" ht="13" x14ac:dyDescent="0.25">
      <c r="A833" s="122" t="s">
        <v>2492</v>
      </c>
      <c r="B833" s="47"/>
      <c r="C833" s="77"/>
      <c r="D833" s="39"/>
      <c r="E833" s="166"/>
      <c r="F833" s="38" t="s">
        <v>1759</v>
      </c>
      <c r="G833" s="39" t="s">
        <v>2315</v>
      </c>
      <c r="H833" s="112"/>
      <c r="I833" s="79"/>
    </row>
    <row r="834" spans="1:9" ht="13" x14ac:dyDescent="0.25">
      <c r="A834" s="122" t="s">
        <v>2494</v>
      </c>
      <c r="B834" s="47"/>
      <c r="C834" s="77"/>
      <c r="D834" s="39" t="s">
        <v>2435</v>
      </c>
      <c r="E834" s="166"/>
      <c r="F834" s="38" t="s">
        <v>650</v>
      </c>
      <c r="G834" s="39"/>
      <c r="H834" s="112"/>
      <c r="I834" s="79"/>
    </row>
    <row r="835" spans="1:9" ht="13" x14ac:dyDescent="0.25">
      <c r="A835" s="122" t="s">
        <v>2495</v>
      </c>
      <c r="B835" s="85"/>
      <c r="C835" s="81"/>
      <c r="D835" s="39"/>
      <c r="E835" s="166"/>
      <c r="F835" s="38" t="s">
        <v>2439</v>
      </c>
      <c r="G835" s="39"/>
      <c r="H835" s="112"/>
      <c r="I835" s="82"/>
    </row>
    <row r="836" spans="1:9" ht="37.5" x14ac:dyDescent="0.25">
      <c r="A836" s="122" t="s">
        <v>2499</v>
      </c>
      <c r="B836" s="46" t="s">
        <v>2496</v>
      </c>
      <c r="C836" s="74" t="s">
        <v>2497</v>
      </c>
      <c r="D836" s="39" t="s">
        <v>2371</v>
      </c>
      <c r="E836" s="166"/>
      <c r="F836" s="38" t="s">
        <v>1137</v>
      </c>
      <c r="G836" s="39"/>
      <c r="H836" s="112"/>
      <c r="I836" s="75"/>
    </row>
    <row r="837" spans="1:9" ht="13" x14ac:dyDescent="0.25">
      <c r="A837" s="122" t="s">
        <v>2500</v>
      </c>
      <c r="B837" s="47"/>
      <c r="C837" s="77"/>
      <c r="D837" s="39"/>
      <c r="E837" s="166"/>
      <c r="F837" s="38" t="s">
        <v>1272</v>
      </c>
      <c r="G837" s="39"/>
      <c r="H837" s="112"/>
      <c r="I837" s="86"/>
    </row>
    <row r="838" spans="1:9" ht="13" x14ac:dyDescent="0.25">
      <c r="A838" s="122" t="s">
        <v>2501</v>
      </c>
      <c r="B838" s="47"/>
      <c r="C838" s="77"/>
      <c r="D838" s="39"/>
      <c r="E838" s="166"/>
      <c r="F838" s="38" t="s">
        <v>2221</v>
      </c>
      <c r="G838" s="39"/>
      <c r="H838" s="112"/>
      <c r="I838" s="87"/>
    </row>
    <row r="839" spans="1:9" ht="13" x14ac:dyDescent="0.25">
      <c r="A839" s="122" t="s">
        <v>2503</v>
      </c>
      <c r="B839" s="47"/>
      <c r="C839" s="77"/>
      <c r="D839" s="39" t="s">
        <v>2385</v>
      </c>
      <c r="E839" s="166"/>
      <c r="F839" s="38" t="s">
        <v>2387</v>
      </c>
      <c r="G839" s="39"/>
      <c r="H839" s="112"/>
      <c r="I839" s="75"/>
    </row>
    <row r="840" spans="1:9" ht="13" x14ac:dyDescent="0.25">
      <c r="A840" s="122" t="s">
        <v>2504</v>
      </c>
      <c r="B840" s="47"/>
      <c r="C840" s="77"/>
      <c r="D840" s="39"/>
      <c r="E840" s="166"/>
      <c r="F840" s="38" t="s">
        <v>2389</v>
      </c>
      <c r="G840" s="39"/>
      <c r="H840" s="112"/>
      <c r="I840" s="86"/>
    </row>
    <row r="841" spans="1:9" ht="13" x14ac:dyDescent="0.3">
      <c r="A841" s="122" t="s">
        <v>2506</v>
      </c>
      <c r="B841" s="47"/>
      <c r="C841" s="77"/>
      <c r="D841" s="39" t="s">
        <v>61</v>
      </c>
      <c r="E841" s="166"/>
      <c r="F841" s="127" t="s">
        <v>2421</v>
      </c>
      <c r="G841" s="39" t="s">
        <v>2418</v>
      </c>
      <c r="H841" s="112"/>
      <c r="I841" s="86"/>
    </row>
    <row r="842" spans="1:9" ht="13" x14ac:dyDescent="0.25">
      <c r="A842" s="122" t="s">
        <v>2508</v>
      </c>
      <c r="B842" s="47"/>
      <c r="C842" s="77"/>
      <c r="D842" s="39" t="s">
        <v>2391</v>
      </c>
      <c r="E842" s="166"/>
      <c r="F842" s="38" t="s">
        <v>1137</v>
      </c>
      <c r="G842" s="39" t="s">
        <v>2424</v>
      </c>
      <c r="H842" s="112"/>
      <c r="I842" s="86"/>
    </row>
    <row r="843" spans="1:9" ht="13" x14ac:dyDescent="0.25">
      <c r="A843" s="122" t="s">
        <v>2510</v>
      </c>
      <c r="B843" s="47"/>
      <c r="C843" s="77"/>
      <c r="D843" s="39" t="s">
        <v>64</v>
      </c>
      <c r="E843" s="166"/>
      <c r="F843" s="38" t="s">
        <v>1756</v>
      </c>
      <c r="G843" s="39" t="s">
        <v>2315</v>
      </c>
      <c r="H843" s="112"/>
      <c r="I843" s="87"/>
    </row>
    <row r="844" spans="1:9" ht="13" x14ac:dyDescent="0.25">
      <c r="A844" s="122" t="s">
        <v>2511</v>
      </c>
      <c r="B844" s="47"/>
      <c r="C844" s="77"/>
      <c r="D844" s="39"/>
      <c r="E844" s="166"/>
      <c r="F844" s="38" t="s">
        <v>1759</v>
      </c>
      <c r="G844" s="39" t="s">
        <v>2315</v>
      </c>
      <c r="H844" s="112"/>
      <c r="I844" s="75"/>
    </row>
    <row r="845" spans="1:9" ht="13" x14ac:dyDescent="0.25">
      <c r="A845" s="122" t="s">
        <v>2513</v>
      </c>
      <c r="B845" s="47"/>
      <c r="C845" s="77"/>
      <c r="D845" s="39" t="s">
        <v>2450</v>
      </c>
      <c r="E845" s="166" t="s">
        <v>2451</v>
      </c>
      <c r="F845" s="38" t="s">
        <v>2035</v>
      </c>
      <c r="G845" s="39"/>
      <c r="H845" s="112"/>
      <c r="I845" s="86"/>
    </row>
    <row r="846" spans="1:9" ht="13" x14ac:dyDescent="0.25">
      <c r="A846" s="122" t="s">
        <v>2514</v>
      </c>
      <c r="B846" s="47"/>
      <c r="C846" s="77"/>
      <c r="D846" s="39"/>
      <c r="E846" s="166"/>
      <c r="F846" s="38" t="s">
        <v>650</v>
      </c>
      <c r="G846" s="39"/>
      <c r="H846" s="112"/>
      <c r="I846" s="86"/>
    </row>
    <row r="847" spans="1:9" ht="13" x14ac:dyDescent="0.25">
      <c r="A847" s="122" t="s">
        <v>2515</v>
      </c>
      <c r="B847" s="47"/>
      <c r="C847" s="77"/>
      <c r="D847" s="39"/>
      <c r="E847" s="166"/>
      <c r="F847" s="38" t="s">
        <v>1220</v>
      </c>
      <c r="G847" s="39"/>
      <c r="H847" s="112"/>
      <c r="I847" s="87"/>
    </row>
    <row r="848" spans="1:9" ht="13" x14ac:dyDescent="0.25">
      <c r="A848" s="122" t="s">
        <v>2517</v>
      </c>
      <c r="B848" s="47"/>
      <c r="C848" s="77"/>
      <c r="D848" s="39" t="s">
        <v>2456</v>
      </c>
      <c r="E848" s="166" t="s">
        <v>2457</v>
      </c>
      <c r="F848" s="38" t="s">
        <v>644</v>
      </c>
      <c r="G848" s="39"/>
      <c r="H848" s="112"/>
      <c r="I848" s="83"/>
    </row>
    <row r="849" spans="1:9" ht="13" x14ac:dyDescent="0.25">
      <c r="A849" s="122" t="s">
        <v>2518</v>
      </c>
      <c r="B849" s="47"/>
      <c r="C849" s="77"/>
      <c r="D849" s="39"/>
      <c r="E849" s="166"/>
      <c r="F849" s="38" t="s">
        <v>650</v>
      </c>
      <c r="G849" s="39"/>
      <c r="H849" s="112"/>
      <c r="I849" s="88"/>
    </row>
    <row r="850" spans="1:9" ht="13" x14ac:dyDescent="0.25">
      <c r="A850" s="122" t="s">
        <v>2519</v>
      </c>
      <c r="B850" s="47"/>
      <c r="C850" s="77"/>
      <c r="D850" s="39"/>
      <c r="E850" s="166"/>
      <c r="F850" s="38" t="s">
        <v>2031</v>
      </c>
      <c r="G850" s="39"/>
      <c r="H850" s="112"/>
      <c r="I850" s="86"/>
    </row>
    <row r="851" spans="1:9" ht="13" x14ac:dyDescent="0.25">
      <c r="A851" s="122" t="s">
        <v>2520</v>
      </c>
      <c r="B851" s="85"/>
      <c r="C851" s="81"/>
      <c r="D851" s="39"/>
      <c r="E851" s="166"/>
      <c r="F851" s="38" t="s">
        <v>1220</v>
      </c>
      <c r="G851" s="39"/>
      <c r="H851" s="112"/>
      <c r="I851" s="86"/>
    </row>
    <row r="852" spans="1:9" ht="13" x14ac:dyDescent="0.3">
      <c r="A852" s="122" t="s">
        <v>2524</v>
      </c>
      <c r="B852" s="46" t="s">
        <v>2521</v>
      </c>
      <c r="C852" s="243" t="s">
        <v>2522</v>
      </c>
      <c r="D852" s="39" t="s">
        <v>58</v>
      </c>
      <c r="E852" s="166"/>
      <c r="F852" s="127" t="s">
        <v>2417</v>
      </c>
      <c r="G852" s="39" t="s">
        <v>2418</v>
      </c>
      <c r="H852" s="112"/>
      <c r="I852" s="87"/>
    </row>
    <row r="853" spans="1:9" ht="13" x14ac:dyDescent="0.3">
      <c r="A853" s="122" t="s">
        <v>2526</v>
      </c>
      <c r="B853" s="47"/>
      <c r="C853" s="244"/>
      <c r="D853" s="39" t="s">
        <v>61</v>
      </c>
      <c r="E853" s="166"/>
      <c r="F853" s="127" t="s">
        <v>2421</v>
      </c>
      <c r="G853" s="39" t="s">
        <v>2418</v>
      </c>
      <c r="H853" s="112"/>
      <c r="I853" s="83"/>
    </row>
    <row r="854" spans="1:9" ht="37.5" x14ac:dyDescent="0.25">
      <c r="A854" s="122" t="s">
        <v>2529</v>
      </c>
      <c r="B854" s="85"/>
      <c r="C854" s="81"/>
      <c r="D854" s="39" t="s">
        <v>2528</v>
      </c>
      <c r="E854" s="166"/>
      <c r="F854" s="38" t="s">
        <v>1137</v>
      </c>
      <c r="G854" s="39" t="s">
        <v>2530</v>
      </c>
      <c r="H854" s="112"/>
      <c r="I854" s="88"/>
    </row>
    <row r="855" spans="1:9" ht="25" x14ac:dyDescent="0.3">
      <c r="A855" s="122" t="s">
        <v>2535</v>
      </c>
      <c r="B855" s="46" t="s">
        <v>2531</v>
      </c>
      <c r="C855" s="255" t="s">
        <v>2532</v>
      </c>
      <c r="D855" s="39" t="s">
        <v>61</v>
      </c>
      <c r="E855" s="166" t="s">
        <v>2534</v>
      </c>
      <c r="F855" s="127" t="s">
        <v>2421</v>
      </c>
      <c r="G855" s="39" t="s">
        <v>2418</v>
      </c>
      <c r="H855" s="112"/>
      <c r="I855" s="86"/>
    </row>
    <row r="856" spans="1:9" ht="37.5" x14ac:dyDescent="0.25">
      <c r="A856" s="122" t="s">
        <v>2537</v>
      </c>
      <c r="B856" s="47"/>
      <c r="C856" s="256"/>
      <c r="D856" s="39" t="s">
        <v>2391</v>
      </c>
      <c r="E856" s="166"/>
      <c r="F856" s="38" t="s">
        <v>1137</v>
      </c>
      <c r="G856" s="39" t="s">
        <v>2530</v>
      </c>
      <c r="H856" s="112"/>
      <c r="I856" s="86"/>
    </row>
    <row r="857" spans="1:9" ht="13" x14ac:dyDescent="0.25">
      <c r="A857" s="122" t="s">
        <v>2539</v>
      </c>
      <c r="B857" s="47"/>
      <c r="C857" s="77"/>
      <c r="D857" s="39" t="s">
        <v>64</v>
      </c>
      <c r="E857" s="166"/>
      <c r="F857" s="38" t="s">
        <v>1756</v>
      </c>
      <c r="G857" s="39" t="s">
        <v>2315</v>
      </c>
      <c r="H857" s="112"/>
      <c r="I857" s="87"/>
    </row>
    <row r="858" spans="1:9" ht="13" x14ac:dyDescent="0.25">
      <c r="A858" s="122" t="s">
        <v>2540</v>
      </c>
      <c r="B858" s="47"/>
      <c r="C858" s="77"/>
      <c r="D858" s="39"/>
      <c r="E858" s="166"/>
      <c r="F858" s="38" t="s">
        <v>1759</v>
      </c>
      <c r="G858" s="39" t="s">
        <v>2315</v>
      </c>
      <c r="H858" s="112"/>
      <c r="I858" s="83"/>
    </row>
    <row r="859" spans="1:9" ht="13" x14ac:dyDescent="0.25">
      <c r="A859" s="122" t="s">
        <v>2542</v>
      </c>
      <c r="B859" s="47"/>
      <c r="C859" s="77"/>
      <c r="D859" s="39" t="s">
        <v>2450</v>
      </c>
      <c r="E859" s="166" t="s">
        <v>2451</v>
      </c>
      <c r="F859" s="38" t="s">
        <v>2035</v>
      </c>
      <c r="G859" s="39"/>
      <c r="H859" s="112"/>
      <c r="I859" s="88"/>
    </row>
    <row r="860" spans="1:9" ht="13" x14ac:dyDescent="0.25">
      <c r="A860" s="122" t="s">
        <v>2543</v>
      </c>
      <c r="B860" s="47"/>
      <c r="C860" s="77"/>
      <c r="D860" s="39"/>
      <c r="E860" s="166"/>
      <c r="F860" s="38" t="s">
        <v>650</v>
      </c>
      <c r="G860" s="39"/>
      <c r="H860" s="112"/>
      <c r="I860" s="86"/>
    </row>
    <row r="861" spans="1:9" ht="13" x14ac:dyDescent="0.25">
      <c r="A861" s="122" t="s">
        <v>2544</v>
      </c>
      <c r="B861" s="47"/>
      <c r="C861" s="77"/>
      <c r="D861" s="39"/>
      <c r="E861" s="166"/>
      <c r="F861" s="38" t="s">
        <v>1220</v>
      </c>
      <c r="G861" s="39"/>
      <c r="H861" s="112"/>
      <c r="I861" s="86"/>
    </row>
    <row r="862" spans="1:9" ht="13" x14ac:dyDescent="0.25">
      <c r="A862" s="122" t="s">
        <v>2546</v>
      </c>
      <c r="B862" s="47"/>
      <c r="C862" s="77"/>
      <c r="D862" s="39" t="s">
        <v>2456</v>
      </c>
      <c r="E862" s="166" t="s">
        <v>2457</v>
      </c>
      <c r="F862" s="38" t="s">
        <v>644</v>
      </c>
      <c r="G862" s="39"/>
      <c r="H862" s="112"/>
      <c r="I862" s="87"/>
    </row>
    <row r="863" spans="1:9" ht="13" x14ac:dyDescent="0.25">
      <c r="A863" s="122" t="s">
        <v>2547</v>
      </c>
      <c r="B863" s="47"/>
      <c r="C863" s="77"/>
      <c r="D863" s="39"/>
      <c r="E863" s="166"/>
      <c r="F863" s="38" t="s">
        <v>650</v>
      </c>
      <c r="G863" s="39"/>
      <c r="H863" s="112"/>
      <c r="I863" s="83"/>
    </row>
    <row r="864" spans="1:9" ht="13" x14ac:dyDescent="0.25">
      <c r="A864" s="122" t="s">
        <v>2548</v>
      </c>
      <c r="B864" s="47"/>
      <c r="C864" s="77"/>
      <c r="D864" s="39"/>
      <c r="E864" s="166"/>
      <c r="F864" s="38" t="s">
        <v>2031</v>
      </c>
      <c r="G864" s="39"/>
      <c r="H864" s="112"/>
      <c r="I864" s="88"/>
    </row>
    <row r="865" spans="1:9" ht="13" x14ac:dyDescent="0.25">
      <c r="A865" s="122" t="s">
        <v>2549</v>
      </c>
      <c r="B865" s="85"/>
      <c r="C865" s="81"/>
      <c r="D865" s="39"/>
      <c r="E865" s="166"/>
      <c r="F865" s="38" t="s">
        <v>1220</v>
      </c>
      <c r="G865" s="39"/>
      <c r="H865" s="112"/>
      <c r="I865" s="86"/>
    </row>
    <row r="866" spans="1:9" ht="25" x14ac:dyDescent="0.3">
      <c r="A866" s="122" t="s">
        <v>2553</v>
      </c>
      <c r="B866" s="46" t="s">
        <v>2550</v>
      </c>
      <c r="C866" s="255" t="s">
        <v>2551</v>
      </c>
      <c r="D866" s="39" t="s">
        <v>61</v>
      </c>
      <c r="E866" s="166" t="s">
        <v>2534</v>
      </c>
      <c r="F866" s="127" t="s">
        <v>2421</v>
      </c>
      <c r="G866" s="39" t="s">
        <v>2418</v>
      </c>
      <c r="H866" s="112"/>
      <c r="I866" s="86"/>
    </row>
    <row r="867" spans="1:9" ht="37.5" x14ac:dyDescent="0.25">
      <c r="A867" s="122" t="s">
        <v>2555</v>
      </c>
      <c r="B867" s="47"/>
      <c r="C867" s="256"/>
      <c r="D867" s="39" t="s">
        <v>2391</v>
      </c>
      <c r="E867" s="166"/>
      <c r="F867" s="38" t="s">
        <v>1137</v>
      </c>
      <c r="G867" s="39" t="s">
        <v>2530</v>
      </c>
      <c r="H867" s="112"/>
      <c r="I867" s="87"/>
    </row>
    <row r="868" spans="1:9" ht="13" x14ac:dyDescent="0.25">
      <c r="A868" s="122" t="s">
        <v>2557</v>
      </c>
      <c r="B868" s="47"/>
      <c r="C868" s="77"/>
      <c r="D868" s="39" t="s">
        <v>64</v>
      </c>
      <c r="E868" s="166"/>
      <c r="F868" s="38" t="s">
        <v>1756</v>
      </c>
      <c r="G868" s="39" t="s">
        <v>2315</v>
      </c>
      <c r="H868" s="112"/>
      <c r="I868" s="83"/>
    </row>
    <row r="869" spans="1:9" ht="13" x14ac:dyDescent="0.25">
      <c r="A869" s="122" t="s">
        <v>2558</v>
      </c>
      <c r="B869" s="47"/>
      <c r="C869" s="77"/>
      <c r="D869" s="39"/>
      <c r="E869" s="166"/>
      <c r="F869" s="38" t="s">
        <v>1759</v>
      </c>
      <c r="G869" s="39" t="s">
        <v>2315</v>
      </c>
      <c r="H869" s="112"/>
      <c r="I869" s="88"/>
    </row>
    <row r="870" spans="1:9" ht="13" x14ac:dyDescent="0.25">
      <c r="A870" s="122" t="s">
        <v>2560</v>
      </c>
      <c r="B870" s="47"/>
      <c r="C870" s="77"/>
      <c r="D870" s="39" t="s">
        <v>2450</v>
      </c>
      <c r="E870" s="166" t="s">
        <v>2451</v>
      </c>
      <c r="F870" s="38" t="s">
        <v>2035</v>
      </c>
      <c r="G870" s="39" t="s">
        <v>2561</v>
      </c>
      <c r="H870" s="112"/>
      <c r="I870" s="86"/>
    </row>
    <row r="871" spans="1:9" ht="13" x14ac:dyDescent="0.25">
      <c r="A871" s="122" t="s">
        <v>2562</v>
      </c>
      <c r="B871" s="47"/>
      <c r="C871" s="77"/>
      <c r="D871" s="39"/>
      <c r="E871" s="166"/>
      <c r="F871" s="38" t="s">
        <v>650</v>
      </c>
      <c r="G871" s="39"/>
      <c r="H871" s="112"/>
      <c r="I871" s="87"/>
    </row>
    <row r="872" spans="1:9" ht="13" x14ac:dyDescent="0.25">
      <c r="A872" s="122" t="s">
        <v>2563</v>
      </c>
      <c r="B872" s="47"/>
      <c r="C872" s="77"/>
      <c r="D872" s="39"/>
      <c r="E872" s="166"/>
      <c r="F872" s="38" t="s">
        <v>1220</v>
      </c>
      <c r="G872" s="39"/>
      <c r="H872" s="112"/>
      <c r="I872" s="83"/>
    </row>
    <row r="873" spans="1:9" ht="25" x14ac:dyDescent="0.25">
      <c r="A873" s="122" t="s">
        <v>2567</v>
      </c>
      <c r="B873" s="85"/>
      <c r="C873" s="81"/>
      <c r="D873" s="39" t="s">
        <v>2565</v>
      </c>
      <c r="E873" s="167" t="s">
        <v>2566</v>
      </c>
      <c r="F873" s="38" t="s">
        <v>1137</v>
      </c>
      <c r="G873" s="39" t="s">
        <v>2568</v>
      </c>
      <c r="H873" s="112"/>
      <c r="I873" s="88"/>
    </row>
    <row r="874" spans="1:9" ht="25" x14ac:dyDescent="0.3">
      <c r="A874" s="122" t="s">
        <v>2573</v>
      </c>
      <c r="B874" s="157" t="s">
        <v>2569</v>
      </c>
      <c r="C874" s="81" t="s">
        <v>2570</v>
      </c>
      <c r="D874" s="128" t="s">
        <v>2572</v>
      </c>
      <c r="E874" s="81" t="s">
        <v>2570</v>
      </c>
      <c r="F874" s="128" t="s">
        <v>2574</v>
      </c>
      <c r="G874" s="81" t="s">
        <v>2570</v>
      </c>
    </row>
    <row r="875" spans="1:9" x14ac:dyDescent="0.25">
      <c r="E875" s="89"/>
    </row>
    <row r="876" spans="1:9" x14ac:dyDescent="0.25">
      <c r="E876" s="89"/>
    </row>
    <row r="877" spans="1:9" x14ac:dyDescent="0.25">
      <c r="E877" s="89"/>
    </row>
    <row r="878" spans="1:9" x14ac:dyDescent="0.25">
      <c r="E878" s="89"/>
    </row>
    <row r="879" spans="1:9" x14ac:dyDescent="0.25">
      <c r="E879" s="89"/>
    </row>
    <row r="880" spans="1:9" x14ac:dyDescent="0.25">
      <c r="E880" s="89"/>
    </row>
    <row r="881" spans="5:5" x14ac:dyDescent="0.25">
      <c r="E881" s="89"/>
    </row>
    <row r="882" spans="5:5" x14ac:dyDescent="0.25">
      <c r="E882" s="89"/>
    </row>
    <row r="883" spans="5:5" x14ac:dyDescent="0.25">
      <c r="E883" s="89"/>
    </row>
    <row r="884" spans="5:5" x14ac:dyDescent="0.25">
      <c r="E884" s="89"/>
    </row>
    <row r="885" spans="5:5" x14ac:dyDescent="0.25">
      <c r="E885" s="89"/>
    </row>
    <row r="886" spans="5:5" x14ac:dyDescent="0.25">
      <c r="E886" s="89"/>
    </row>
    <row r="887" spans="5:5" x14ac:dyDescent="0.25">
      <c r="E887" s="89"/>
    </row>
    <row r="888" spans="5:5" x14ac:dyDescent="0.25">
      <c r="E888" s="89"/>
    </row>
    <row r="889" spans="5:5" x14ac:dyDescent="0.25">
      <c r="E889" s="89"/>
    </row>
    <row r="890" spans="5:5" x14ac:dyDescent="0.25">
      <c r="E890" s="89"/>
    </row>
    <row r="891" spans="5:5" x14ac:dyDescent="0.25">
      <c r="E891" s="89"/>
    </row>
    <row r="892" spans="5:5" x14ac:dyDescent="0.25">
      <c r="E892" s="89"/>
    </row>
    <row r="893" spans="5:5" x14ac:dyDescent="0.25">
      <c r="E893" s="89"/>
    </row>
    <row r="894" spans="5:5" x14ac:dyDescent="0.25">
      <c r="E894" s="89"/>
    </row>
    <row r="895" spans="5:5" x14ac:dyDescent="0.25">
      <c r="E895" s="89"/>
    </row>
    <row r="896" spans="5:5" x14ac:dyDescent="0.25">
      <c r="E896" s="89"/>
    </row>
    <row r="897" spans="5:5" x14ac:dyDescent="0.25">
      <c r="E897" s="89"/>
    </row>
    <row r="898" spans="5:5" x14ac:dyDescent="0.25">
      <c r="E898" s="90"/>
    </row>
    <row r="899" spans="5:5" x14ac:dyDescent="0.25">
      <c r="E899" s="89"/>
    </row>
    <row r="900" spans="5:5" x14ac:dyDescent="0.25">
      <c r="E900" s="89"/>
    </row>
    <row r="901" spans="5:5" x14ac:dyDescent="0.25">
      <c r="E901" s="89"/>
    </row>
    <row r="902" spans="5:5" x14ac:dyDescent="0.25">
      <c r="E902" s="89"/>
    </row>
    <row r="903" spans="5:5" x14ac:dyDescent="0.25">
      <c r="E903" s="89"/>
    </row>
    <row r="904" spans="5:5" x14ac:dyDescent="0.25">
      <c r="E904" s="89"/>
    </row>
    <row r="905" spans="5:5" x14ac:dyDescent="0.25">
      <c r="E905" s="89"/>
    </row>
    <row r="906" spans="5:5" x14ac:dyDescent="0.25">
      <c r="E906" s="89"/>
    </row>
    <row r="907" spans="5:5" x14ac:dyDescent="0.25">
      <c r="E907" s="89"/>
    </row>
    <row r="908" spans="5:5" x14ac:dyDescent="0.25">
      <c r="E908" s="89"/>
    </row>
    <row r="909" spans="5:5" x14ac:dyDescent="0.25">
      <c r="E909" s="89"/>
    </row>
    <row r="910" spans="5:5" x14ac:dyDescent="0.25">
      <c r="E910" s="89"/>
    </row>
    <row r="911" spans="5:5" x14ac:dyDescent="0.25">
      <c r="E911" s="89"/>
    </row>
    <row r="912" spans="5:5" x14ac:dyDescent="0.25">
      <c r="E912" s="89"/>
    </row>
    <row r="913" spans="5:5" x14ac:dyDescent="0.25">
      <c r="E913" s="89"/>
    </row>
    <row r="914" spans="5:5" x14ac:dyDescent="0.25">
      <c r="E914" s="89"/>
    </row>
    <row r="915" spans="5:5" x14ac:dyDescent="0.25">
      <c r="E915" s="89"/>
    </row>
    <row r="916" spans="5:5" x14ac:dyDescent="0.25">
      <c r="E916" s="89"/>
    </row>
    <row r="917" spans="5:5" x14ac:dyDescent="0.25">
      <c r="E917" s="89"/>
    </row>
    <row r="918" spans="5:5" x14ac:dyDescent="0.25">
      <c r="E918" s="89"/>
    </row>
    <row r="919" spans="5:5" x14ac:dyDescent="0.25">
      <c r="E919" s="89"/>
    </row>
    <row r="920" spans="5:5" x14ac:dyDescent="0.25">
      <c r="E920" s="89"/>
    </row>
    <row r="921" spans="5:5" x14ac:dyDescent="0.25">
      <c r="E921" s="89"/>
    </row>
    <row r="922" spans="5:5" x14ac:dyDescent="0.25">
      <c r="E922" s="89"/>
    </row>
    <row r="923" spans="5:5" x14ac:dyDescent="0.25">
      <c r="E923" s="89"/>
    </row>
    <row r="924" spans="5:5" x14ac:dyDescent="0.25">
      <c r="E924" s="89"/>
    </row>
    <row r="925" spans="5:5" x14ac:dyDescent="0.25">
      <c r="E925" s="89"/>
    </row>
    <row r="926" spans="5:5" x14ac:dyDescent="0.25">
      <c r="E926" s="89"/>
    </row>
    <row r="927" spans="5:5" x14ac:dyDescent="0.25">
      <c r="E927" s="89"/>
    </row>
    <row r="928" spans="5:5" x14ac:dyDescent="0.25">
      <c r="E928" s="89"/>
    </row>
    <row r="929" spans="5:5" x14ac:dyDescent="0.25">
      <c r="E929" s="89"/>
    </row>
    <row r="930" spans="5:5" x14ac:dyDescent="0.25">
      <c r="E930" s="89"/>
    </row>
    <row r="931" spans="5:5" x14ac:dyDescent="0.25">
      <c r="E931" s="89"/>
    </row>
    <row r="932" spans="5:5" x14ac:dyDescent="0.25">
      <c r="E932" s="89"/>
    </row>
    <row r="933" spans="5:5" x14ac:dyDescent="0.25">
      <c r="E933" s="89"/>
    </row>
    <row r="934" spans="5:5" x14ac:dyDescent="0.25">
      <c r="E934" s="89"/>
    </row>
    <row r="935" spans="5:5" x14ac:dyDescent="0.25">
      <c r="E935" s="89"/>
    </row>
    <row r="936" spans="5:5" x14ac:dyDescent="0.25">
      <c r="E936" s="91"/>
    </row>
    <row r="937" spans="5:5" x14ac:dyDescent="0.25">
      <c r="E937" s="92"/>
    </row>
    <row r="938" spans="5:5" x14ac:dyDescent="0.25">
      <c r="E938" s="89"/>
    </row>
    <row r="939" spans="5:5" x14ac:dyDescent="0.25">
      <c r="E939" s="89"/>
    </row>
    <row r="940" spans="5:5" x14ac:dyDescent="0.25">
      <c r="E940" s="89"/>
    </row>
    <row r="941" spans="5:5" x14ac:dyDescent="0.25">
      <c r="E941" s="91"/>
    </row>
    <row r="942" spans="5:5" x14ac:dyDescent="0.25">
      <c r="E942" s="92"/>
    </row>
    <row r="943" spans="5:5" x14ac:dyDescent="0.25">
      <c r="E943" s="89"/>
    </row>
    <row r="944" spans="5:5" x14ac:dyDescent="0.25">
      <c r="E944" s="89"/>
    </row>
    <row r="945" spans="5:5" x14ac:dyDescent="0.25">
      <c r="E945" s="91"/>
    </row>
    <row r="946" spans="5:5" x14ac:dyDescent="0.25">
      <c r="E946" s="92"/>
    </row>
    <row r="947" spans="5:5" x14ac:dyDescent="0.25">
      <c r="E947" s="91"/>
    </row>
    <row r="948" spans="5:5" x14ac:dyDescent="0.25">
      <c r="E948" s="92"/>
    </row>
    <row r="949" spans="5:5" x14ac:dyDescent="0.25">
      <c r="E949" s="89"/>
    </row>
    <row r="950" spans="5:5" x14ac:dyDescent="0.25">
      <c r="E950" s="91"/>
    </row>
    <row r="951" spans="5:5" x14ac:dyDescent="0.25">
      <c r="E951" s="92"/>
    </row>
    <row r="952" spans="5:5" x14ac:dyDescent="0.25">
      <c r="E952" s="89"/>
    </row>
    <row r="953" spans="5:5" x14ac:dyDescent="0.25">
      <c r="E953" s="89"/>
    </row>
    <row r="954" spans="5:5" x14ac:dyDescent="0.25">
      <c r="E954" s="89"/>
    </row>
    <row r="955" spans="5:5" x14ac:dyDescent="0.25">
      <c r="E955" s="92"/>
    </row>
    <row r="956" spans="5:5" x14ac:dyDescent="0.25">
      <c r="E956" s="91"/>
    </row>
    <row r="957" spans="5:5" x14ac:dyDescent="0.25">
      <c r="E957" s="92"/>
    </row>
    <row r="958" spans="5:5" x14ac:dyDescent="0.25">
      <c r="E958" s="89"/>
    </row>
    <row r="959" spans="5:5" x14ac:dyDescent="0.25">
      <c r="E959" s="89"/>
    </row>
    <row r="960" spans="5:5" x14ac:dyDescent="0.25">
      <c r="E960" s="89"/>
    </row>
    <row r="961" spans="5:5" x14ac:dyDescent="0.25">
      <c r="E961" s="89"/>
    </row>
    <row r="962" spans="5:5" x14ac:dyDescent="0.25">
      <c r="E962" s="91"/>
    </row>
    <row r="963" spans="5:5" x14ac:dyDescent="0.25">
      <c r="E963" s="92"/>
    </row>
    <row r="964" spans="5:5" x14ac:dyDescent="0.25">
      <c r="E964" s="91"/>
    </row>
    <row r="965" spans="5:5" x14ac:dyDescent="0.25">
      <c r="E965" s="92"/>
    </row>
    <row r="966" spans="5:5" x14ac:dyDescent="0.25">
      <c r="E966" s="89"/>
    </row>
    <row r="967" spans="5:5" x14ac:dyDescent="0.25">
      <c r="E967" s="91"/>
    </row>
    <row r="968" spans="5:5" x14ac:dyDescent="0.25">
      <c r="E968" s="93"/>
    </row>
    <row r="969" spans="5:5" x14ac:dyDescent="0.25">
      <c r="E969" s="93"/>
    </row>
    <row r="970" spans="5:5" x14ac:dyDescent="0.25">
      <c r="E970" s="93"/>
    </row>
    <row r="971" spans="5:5" x14ac:dyDescent="0.25">
      <c r="E971" s="93"/>
    </row>
    <row r="972" spans="5:5" x14ac:dyDescent="0.25">
      <c r="E972" s="93"/>
    </row>
    <row r="973" spans="5:5" x14ac:dyDescent="0.25">
      <c r="E973" s="93"/>
    </row>
    <row r="974" spans="5:5" x14ac:dyDescent="0.25">
      <c r="E974" s="93"/>
    </row>
    <row r="975" spans="5:5" x14ac:dyDescent="0.25">
      <c r="E975" s="93"/>
    </row>
    <row r="976" spans="5:5" x14ac:dyDescent="0.25">
      <c r="E976" s="93"/>
    </row>
    <row r="977" spans="5:5" x14ac:dyDescent="0.25">
      <c r="E977" s="93"/>
    </row>
    <row r="978" spans="5:5" x14ac:dyDescent="0.25">
      <c r="E978" s="93"/>
    </row>
    <row r="979" spans="5:5" x14ac:dyDescent="0.25">
      <c r="E979" s="93"/>
    </row>
    <row r="980" spans="5:5" x14ac:dyDescent="0.25">
      <c r="E980" s="93"/>
    </row>
    <row r="981" spans="5:5" x14ac:dyDescent="0.25">
      <c r="E981" s="93"/>
    </row>
    <row r="982" spans="5:5" x14ac:dyDescent="0.25">
      <c r="E982" s="93"/>
    </row>
    <row r="983" spans="5:5" x14ac:dyDescent="0.25">
      <c r="E983" s="93"/>
    </row>
    <row r="984" spans="5:5" x14ac:dyDescent="0.25">
      <c r="E984" s="93"/>
    </row>
    <row r="985" spans="5:5" x14ac:dyDescent="0.25">
      <c r="E985" s="93"/>
    </row>
    <row r="986" spans="5:5" x14ac:dyDescent="0.25">
      <c r="E986" s="93"/>
    </row>
    <row r="987" spans="5:5" x14ac:dyDescent="0.25">
      <c r="E987" s="93"/>
    </row>
    <row r="988" spans="5:5" x14ac:dyDescent="0.25">
      <c r="E988" s="93"/>
    </row>
    <row r="989" spans="5:5" x14ac:dyDescent="0.25">
      <c r="E989" s="94"/>
    </row>
    <row r="990" spans="5:5" x14ac:dyDescent="0.25">
      <c r="E990" s="95"/>
    </row>
    <row r="991" spans="5:5" x14ac:dyDescent="0.25">
      <c r="E991" s="96"/>
    </row>
    <row r="992" spans="5:5" x14ac:dyDescent="0.25">
      <c r="E992" s="94"/>
    </row>
    <row r="993" spans="5:5" x14ac:dyDescent="0.25">
      <c r="E993" s="95"/>
    </row>
    <row r="994" spans="5:5" x14ac:dyDescent="0.25">
      <c r="E994" s="95"/>
    </row>
    <row r="995" spans="5:5" x14ac:dyDescent="0.25">
      <c r="E995" s="96"/>
    </row>
    <row r="996" spans="5:5" x14ac:dyDescent="0.25">
      <c r="E996" s="94"/>
    </row>
    <row r="997" spans="5:5" x14ac:dyDescent="0.25">
      <c r="E997" s="95"/>
    </row>
    <row r="998" spans="5:5" x14ac:dyDescent="0.25">
      <c r="E998" s="96"/>
    </row>
    <row r="999" spans="5:5" x14ac:dyDescent="0.25">
      <c r="E999" s="94"/>
    </row>
    <row r="1000" spans="5:5" x14ac:dyDescent="0.25">
      <c r="E1000" s="95"/>
    </row>
    <row r="1001" spans="5:5" x14ac:dyDescent="0.25">
      <c r="E1001" s="95"/>
    </row>
    <row r="1002" spans="5:5" x14ac:dyDescent="0.25">
      <c r="E1002" s="96"/>
    </row>
    <row r="1003" spans="5:5" x14ac:dyDescent="0.25">
      <c r="E1003" s="94"/>
    </row>
    <row r="1004" spans="5:5" x14ac:dyDescent="0.25">
      <c r="E1004" s="95"/>
    </row>
    <row r="1005" spans="5:5" x14ac:dyDescent="0.25">
      <c r="E1005" s="95"/>
    </row>
    <row r="1006" spans="5:5" x14ac:dyDescent="0.25">
      <c r="E1006" s="95"/>
    </row>
    <row r="1007" spans="5:5" x14ac:dyDescent="0.25">
      <c r="E1007" s="96"/>
    </row>
    <row r="1008" spans="5:5" x14ac:dyDescent="0.25">
      <c r="E1008" s="94"/>
    </row>
    <row r="1009" spans="5:5" x14ac:dyDescent="0.25">
      <c r="E1009" s="95"/>
    </row>
    <row r="1010" spans="5:5" x14ac:dyDescent="0.25">
      <c r="E1010" s="95"/>
    </row>
    <row r="1011" spans="5:5" x14ac:dyDescent="0.25">
      <c r="E1011" s="95"/>
    </row>
    <row r="1012" spans="5:5" x14ac:dyDescent="0.25">
      <c r="E1012" s="96"/>
    </row>
    <row r="1013" spans="5:5" x14ac:dyDescent="0.25">
      <c r="E1013" s="94"/>
    </row>
    <row r="1014" spans="5:5" x14ac:dyDescent="0.25">
      <c r="E1014" s="95"/>
    </row>
    <row r="1015" spans="5:5" x14ac:dyDescent="0.25">
      <c r="E1015" s="95"/>
    </row>
    <row r="1016" spans="5:5" x14ac:dyDescent="0.25">
      <c r="E1016" s="95"/>
    </row>
    <row r="1017" spans="5:5" x14ac:dyDescent="0.25">
      <c r="E1017" s="95"/>
    </row>
    <row r="1018" spans="5:5" x14ac:dyDescent="0.25">
      <c r="E1018" s="96"/>
    </row>
    <row r="1019" spans="5:5" x14ac:dyDescent="0.25">
      <c r="E1019" s="94"/>
    </row>
    <row r="1020" spans="5:5" x14ac:dyDescent="0.25">
      <c r="E1020" s="95"/>
    </row>
    <row r="1021" spans="5:5" x14ac:dyDescent="0.25">
      <c r="E1021" s="95"/>
    </row>
    <row r="1022" spans="5:5" x14ac:dyDescent="0.25">
      <c r="E1022" s="95"/>
    </row>
    <row r="1023" spans="5:5" x14ac:dyDescent="0.25">
      <c r="E1023" s="95"/>
    </row>
    <row r="1024" spans="5:5" x14ac:dyDescent="0.25">
      <c r="E1024" s="95"/>
    </row>
    <row r="1025" spans="5:5" x14ac:dyDescent="0.25">
      <c r="E1025" s="96"/>
    </row>
    <row r="1026" spans="5:5" x14ac:dyDescent="0.25">
      <c r="E1026" s="94"/>
    </row>
    <row r="1027" spans="5:5" x14ac:dyDescent="0.25">
      <c r="E1027" s="95"/>
    </row>
    <row r="1028" spans="5:5" x14ac:dyDescent="0.25">
      <c r="E1028" s="96"/>
    </row>
    <row r="1029" spans="5:5" x14ac:dyDescent="0.25">
      <c r="E1029" s="94"/>
    </row>
    <row r="1030" spans="5:5" x14ac:dyDescent="0.25">
      <c r="E1030" s="95"/>
    </row>
    <row r="1031" spans="5:5" x14ac:dyDescent="0.25">
      <c r="E1031" s="95"/>
    </row>
    <row r="1032" spans="5:5" x14ac:dyDescent="0.25">
      <c r="E1032" s="95"/>
    </row>
    <row r="1033" spans="5:5" x14ac:dyDescent="0.25">
      <c r="E1033" s="96"/>
    </row>
    <row r="1034" spans="5:5" x14ac:dyDescent="0.25">
      <c r="E1034" s="94"/>
    </row>
    <row r="1035" spans="5:5" x14ac:dyDescent="0.25">
      <c r="E1035" s="95"/>
    </row>
    <row r="1036" spans="5:5" x14ac:dyDescent="0.25">
      <c r="E1036" s="95"/>
    </row>
    <row r="1037" spans="5:5" x14ac:dyDescent="0.25">
      <c r="E1037" s="96"/>
    </row>
    <row r="1038" spans="5:5" x14ac:dyDescent="0.25">
      <c r="E1038" s="93"/>
    </row>
    <row r="1039" spans="5:5" x14ac:dyDescent="0.25">
      <c r="E1039" s="93"/>
    </row>
    <row r="1040" spans="5:5" x14ac:dyDescent="0.25">
      <c r="E1040" s="93"/>
    </row>
    <row r="1041" spans="5:5" x14ac:dyDescent="0.25">
      <c r="E1041" s="93"/>
    </row>
    <row r="1042" spans="5:5" x14ac:dyDescent="0.25">
      <c r="E1042" s="93"/>
    </row>
  </sheetData>
  <autoFilter ref="A3:I874" xr:uid="{CEAADACB-3E94-421B-9E7D-5E952C3C1299}"/>
  <dataConsolidate/>
  <mergeCells count="44">
    <mergeCell ref="E633:E636"/>
    <mergeCell ref="C866:C867"/>
    <mergeCell ref="E790:E791"/>
    <mergeCell ref="C797:C798"/>
    <mergeCell ref="C800:C801"/>
    <mergeCell ref="C806:C807"/>
    <mergeCell ref="C852:C853"/>
    <mergeCell ref="C855:C856"/>
    <mergeCell ref="C701:C702"/>
    <mergeCell ref="C548:C553"/>
    <mergeCell ref="C557:C558"/>
    <mergeCell ref="C579:C582"/>
    <mergeCell ref="C594:C602"/>
    <mergeCell ref="C606:C607"/>
    <mergeCell ref="C608:C610"/>
    <mergeCell ref="C613:C615"/>
    <mergeCell ref="C617:C618"/>
    <mergeCell ref="C621:C624"/>
    <mergeCell ref="C625:C626"/>
    <mergeCell ref="C540:C547"/>
    <mergeCell ref="C193:C194"/>
    <mergeCell ref="E221:E223"/>
    <mergeCell ref="C252:C253"/>
    <mergeCell ref="C268:C269"/>
    <mergeCell ref="C282:C285"/>
    <mergeCell ref="C294:C296"/>
    <mergeCell ref="C301:C302"/>
    <mergeCell ref="C305:C313"/>
    <mergeCell ref="C438:C440"/>
    <mergeCell ref="C458:C460"/>
    <mergeCell ref="C532:C533"/>
    <mergeCell ref="B2:C2"/>
    <mergeCell ref="D2:E2"/>
    <mergeCell ref="F2:G2"/>
    <mergeCell ref="C60:C61"/>
    <mergeCell ref="C80:C81"/>
    <mergeCell ref="C165:C167"/>
    <mergeCell ref="C4:C9"/>
    <mergeCell ref="C10:C13"/>
    <mergeCell ref="C17:C19"/>
    <mergeCell ref="C32:C33"/>
    <mergeCell ref="C84:C88"/>
    <mergeCell ref="C102:C107"/>
    <mergeCell ref="C125:C127"/>
  </mergeCells>
  <phoneticPr fontId="5"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theme="1" tint="4.9989318521683403E-2"/>
    <pageSetUpPr fitToPage="1"/>
  </sheetPr>
  <dimension ref="A2:E6"/>
  <sheetViews>
    <sheetView zoomScaleNormal="100" workbookViewId="0">
      <selection activeCell="C26" sqref="C26"/>
    </sheetView>
  </sheetViews>
  <sheetFormatPr defaultColWidth="8.7265625" defaultRowHeight="12.5" x14ac:dyDescent="0.25"/>
  <cols>
    <col min="1" max="1" width="14" customWidth="1"/>
    <col min="3" max="3" width="10.36328125" customWidth="1"/>
    <col min="5" max="5" width="15.26953125" customWidth="1"/>
  </cols>
  <sheetData>
    <row r="2" spans="1:5" s="18" customFormat="1" ht="38" customHeight="1" x14ac:dyDescent="0.3">
      <c r="A2" s="28" t="s">
        <v>74</v>
      </c>
      <c r="C2" s="28" t="s">
        <v>2591</v>
      </c>
      <c r="E2" s="28" t="s">
        <v>2592</v>
      </c>
    </row>
    <row r="3" spans="1:5" x14ac:dyDescent="0.25">
      <c r="A3" s="1" t="s">
        <v>79</v>
      </c>
      <c r="C3" s="1" t="s">
        <v>79</v>
      </c>
      <c r="E3" t="s">
        <v>2593</v>
      </c>
    </row>
    <row r="4" spans="1:5" x14ac:dyDescent="0.25">
      <c r="A4" s="1" t="s">
        <v>84</v>
      </c>
      <c r="C4" s="1" t="s">
        <v>640</v>
      </c>
      <c r="E4" t="s">
        <v>2594</v>
      </c>
    </row>
    <row r="5" spans="1:5" x14ac:dyDescent="0.25">
      <c r="A5" s="2" t="s">
        <v>2595</v>
      </c>
      <c r="C5" s="1" t="s">
        <v>643</v>
      </c>
      <c r="E5" t="s">
        <v>2595</v>
      </c>
    </row>
    <row r="6" spans="1:5" x14ac:dyDescent="0.25">
      <c r="C6" s="2" t="s">
        <v>2595</v>
      </c>
    </row>
  </sheetData>
  <printOptions horizontalCentered="1"/>
  <pageMargins left="0.5" right="0.5" top="1" bottom="0.5" header="0.3" footer="0.3"/>
  <pageSetup paperSize="8" orientation="landscape" r:id="rId1"/>
  <headerFooter>
    <oddHeader>&amp;L&amp;11[Project name]&amp;9
Risks, Assumptions, Issues and Dependencies&amp;C&amp;9&amp;A</oddHeader>
    <oddFooter>&amp;L&amp;8© EYGM Limited 2013.  All rights reserved.
Confidential and proprietary</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0808F77D67AB045A322382BD52F69D2" ma:contentTypeVersion="12" ma:contentTypeDescription="Create a new document." ma:contentTypeScope="" ma:versionID="4ac17ab8eb4ce7e6c64b506f2c76ff29">
  <xsd:schema xmlns:xsd="http://www.w3.org/2001/XMLSchema" xmlns:xs="http://www.w3.org/2001/XMLSchema" xmlns:p="http://schemas.microsoft.com/office/2006/metadata/properties" xmlns:ns2="154394fe-d9db-426d-8700-7b499e97b9ba" xmlns:ns3="3bb2f383-64e8-43a2-bc29-bea0a6fd6bdf" targetNamespace="http://schemas.microsoft.com/office/2006/metadata/properties" ma:root="true" ma:fieldsID="e81b61d212a728d419bed8054a9b1ad5" ns2:_="" ns3:_="">
    <xsd:import namespace="154394fe-d9db-426d-8700-7b499e97b9ba"/>
    <xsd:import namespace="3bb2f383-64e8-43a2-bc29-bea0a6fd6bdf"/>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54394fe-d9db-426d-8700-7b499e97b9b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b2f383-64e8-43a2-bc29-bea0a6fd6bdf"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80E3D4A-2857-485F-BB31-056E620A5F80}">
  <ds:schemaRefs>
    <ds:schemaRef ds:uri="http://schemas.microsoft.com/sharepoint/v3/contenttype/forms"/>
  </ds:schemaRefs>
</ds:datastoreItem>
</file>

<file path=customXml/itemProps2.xml><?xml version="1.0" encoding="utf-8"?>
<ds:datastoreItem xmlns:ds="http://schemas.openxmlformats.org/officeDocument/2006/customXml" ds:itemID="{C4468268-E559-403C-9EEC-5A24611FA5DE}">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05BC1A90-2430-496E-A509-1C0B0B1D59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54394fe-d9db-426d-8700-7b499e97b9ba"/>
    <ds:schemaRef ds:uri="3bb2f383-64e8-43a2-bc29-bea0a6fd6b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Readme</vt:lpstr>
      <vt:lpstr>Processes</vt:lpstr>
      <vt:lpstr>Mapping Processes--&gt;Data</vt:lpstr>
      <vt:lpstr>Data</vt:lpstr>
      <vt:lpstr>Summary</vt:lpstr>
      <vt:lpstr>Dropdowns</vt:lpstr>
      <vt:lpstr>ID_D</vt:lpstr>
      <vt:lpstr>ID_M</vt:lpstr>
      <vt:lpstr>ID_P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FHL Data Standard</dc:title>
  <dc:subject/>
  <dc:creator>Jim Dart</dc:creator>
  <cp:keywords/>
  <dc:description/>
  <cp:lastModifiedBy>Dan Lammot</cp:lastModifiedBy>
  <cp:revision/>
  <dcterms:created xsi:type="dcterms:W3CDTF">2010-01-29T04:02:51Z</dcterms:created>
  <dcterms:modified xsi:type="dcterms:W3CDTF">2020-11-16T03:26:38Z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0x010100A0808F77D67AB045A322382BD52F69D2</vt:lpwstr>
  </property>
  <property fmtid="{D5CDD505-2E9C-101B-9397-08002B2CF9AE}" pid="3" name="TaxKeyword">
    <vt:lpwstr/>
  </property>
  <property fmtid="{D5CDD505-2E9C-101B-9397-08002B2CF9AE}" pid="4" name="_dlc_DocIdItemGuid">
    <vt:lpwstr>e3c464ed-411d-4a77-9e3d-5c1c9869cf2b</vt:lpwstr>
  </property>
  <property fmtid="{D5CDD505-2E9C-101B-9397-08002B2CF9AE}" pid="5" name="EYMarketSegment">
    <vt:lpwstr/>
  </property>
  <property fmtid="{D5CDD505-2E9C-101B-9397-08002B2CF9AE}" pid="6" name="EYCommunitySpecificTerms">
    <vt:lpwstr>1004;#Global Methods|dc58f05c-36e0-42bf-85df-b5c5507fbcd5</vt:lpwstr>
  </property>
  <property fmtid="{D5CDD505-2E9C-101B-9397-08002B2CF9AE}" pid="7" name="EYTargetAudience">
    <vt:lpwstr/>
  </property>
  <property fmtid="{D5CDD505-2E9C-101B-9397-08002B2CF9AE}" pid="8" name="EYIssues">
    <vt:lpwstr/>
  </property>
  <property fmtid="{D5CDD505-2E9C-101B-9397-08002B2CF9AE}" pid="9" name="ContentLanguage">
    <vt:lpwstr>49;#English|556a818d-2fa5-4ece-a7c0-2ca1d2dc5c77</vt:lpwstr>
  </property>
  <property fmtid="{D5CDD505-2E9C-101B-9397-08002B2CF9AE}" pid="10" name="EYEndorsement">
    <vt:lpwstr/>
  </property>
  <property fmtid="{D5CDD505-2E9C-101B-9397-08002B2CF9AE}" pid="11" name="ServiceLineFunction">
    <vt:lpwstr>8;#Advisory|05f56918-abb4-4fc6-b748-1264d80bab20</vt:lpwstr>
  </property>
  <property fmtid="{D5CDD505-2E9C-101B-9397-08002B2CF9AE}" pid="12" name="Sector">
    <vt:lpwstr>7;#All Sectors|32600395-49d1-4199-adb5-3693fcec9e59</vt:lpwstr>
  </property>
  <property fmtid="{D5CDD505-2E9C-101B-9397-08002B2CF9AE}" pid="13" name="GeographicApplicability">
    <vt:lpwstr>13;#Global|500f1427-2ec5-408e-9c7e-c7ecab3f14e9</vt:lpwstr>
  </property>
  <property fmtid="{D5CDD505-2E9C-101B-9397-08002B2CF9AE}" pid="14" name="MethodName">
    <vt:lpwstr>3624;#Purpose-Led Transformation|8673636a-84a8-4542-82d1-4776426db3fa;#5365;#Purpose-Led Transformation - Assessment|f45bb635-701b-495b-a3e2-a1d252a7348e;#5428;#Purpose-Led Transformation - Definition|35725f57-259c-4046-afe5-166f7563aa6b;#1538;#Global Tra</vt:lpwstr>
  </property>
  <property fmtid="{D5CDD505-2E9C-101B-9397-08002B2CF9AE}" pid="15" name="MethodWorkProduct">
    <vt:lpwstr/>
  </property>
  <property fmtid="{D5CDD505-2E9C-101B-9397-08002B2CF9AE}" pid="16" name="_dlc_policyId">
    <vt:lpwstr>/Lists/ContentRequests/Submission</vt:lpwstr>
  </property>
  <property fmtid="{D5CDD505-2E9C-101B-9397-08002B2CF9AE}" pid="17" name="ItemRetentionFormula">
    <vt:lpwstr>&lt;formula id="Microsoft.Office.RecordsManagement.PolicyFeatures.Expiration.Formula.BuiltIn"&gt;&lt;number&gt;30&lt;/number&gt;&lt;property&gt;Created&lt;/property&gt;&lt;propertyId&gt;8c06beca-0777-48f7-91c7-6da68bc07b69&lt;/propertyId&gt;&lt;period&gt;days&lt;/period&gt;&lt;/formula&gt;</vt:lpwstr>
  </property>
  <property fmtid="{D5CDD505-2E9C-101B-9397-08002B2CF9AE}" pid="18" name="_docset_NoMedatataSyncRequired">
    <vt:lpwstr>False</vt:lpwstr>
  </property>
  <property fmtid="{D5CDD505-2E9C-101B-9397-08002B2CF9AE}" pid="19" name="CMS_G360Acct">
    <vt:lpwstr/>
  </property>
  <property fmtid="{D5CDD505-2E9C-101B-9397-08002B2CF9AE}" pid="20" name="EYContentType">
    <vt:lpwstr>73;#Tools (Service Delivery)|fda1dd6d-8fe3-44ef-922b-96b5ec767801</vt:lpwstr>
  </property>
  <property fmtid="{D5CDD505-2E9C-101B-9397-08002B2CF9AE}" pid="21" name="EYKEndorsedBy">
    <vt:lpwstr/>
  </property>
  <property fmtid="{D5CDD505-2E9C-101B-9397-08002B2CF9AE}" pid="22" name="EYKKnowledgeDomainOwner">
    <vt:lpwstr>7286;#Global Methods|5461ac65-32aa-46f7-b6b5-c47082f3fec1</vt:lpwstr>
  </property>
  <property fmtid="{D5CDD505-2E9C-101B-9397-08002B2CF9AE}" pid="23" name="EYKRelatedKnowledgeDomain">
    <vt:lpwstr>6254;#Advisory|dd84c20a-c9b2-464e-99d8-b8bf1968f752</vt:lpwstr>
  </property>
  <property fmtid="{D5CDD505-2E9C-101B-9397-08002B2CF9AE}" pid="24" name="EYKStubRecordType">
    <vt:lpwstr/>
  </property>
</Properties>
</file>